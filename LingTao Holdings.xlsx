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drawings/drawing4.xml" ContentType="application/vnd.openxmlformats-officedocument.drawing+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trlProps/ctrlProp4.xml" ContentType="application/vnd.ms-excel.controlproperties+xml"/>
  <Override PartName="/xl/drawings/drawing6.xml" ContentType="application/vnd.openxmlformats-officedocument.drawing+xml"/>
  <Override PartName="/xl/ctrlProps/ctrlProp5.xml" ContentType="application/vnd.ms-excel.controlproperties+xml"/>
  <Override PartName="/xl/drawings/drawing7.xml" ContentType="application/vnd.openxmlformats-officedocument.drawing+xml"/>
  <Override PartName="/xl/ctrlProps/ctrlProp6.xml" ContentType="application/vnd.ms-excel.controlproperties+xml"/>
  <Override PartName="/xl/drawings/drawing8.xml" ContentType="application/vnd.openxmlformats-officedocument.drawing+xml"/>
  <Override PartName="/xl/ctrlProps/ctrlProp7.xml" ContentType="application/vnd.ms-excel.controlproperties+xml"/>
  <Override PartName="/xl/drawings/drawing9.xml" ContentType="application/vnd.openxmlformats-officedocument.drawing+xml"/>
  <Override PartName="/xl/ctrlProps/ctrlProp8.xml" ContentType="application/vnd.ms-excel.controlproperties+xml"/>
  <Override PartName="/xl/drawings/drawing10.xml" ContentType="application/vnd.openxmlformats-officedocument.drawing+xml"/>
  <Override PartName="/xl/ctrlProps/ctrlProp9.xml" ContentType="application/vnd.ms-excel.controlproperties+xml"/>
  <Override PartName="/xl/drawings/drawing11.xml" ContentType="application/vnd.openxmlformats-officedocument.drawing+xml"/>
  <Override PartName="/xl/ctrlProps/ctrlProp10.xml" ContentType="application/vnd.ms-excel.controlproperti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Mac\Home\Desktop\Files\10Alytics\Capston Projects\Financial Modelling\"/>
    </mc:Choice>
  </mc:AlternateContent>
  <xr:revisionPtr revIDLastSave="0" documentId="13_ncr:1_{2F94CE16-62BB-4307-9361-F4D8FA7E14ED}" xr6:coauthVersionLast="47" xr6:coauthVersionMax="47" xr10:uidLastSave="{00000000-0000-0000-0000-000000000000}"/>
  <bookViews>
    <workbookView xWindow="2220" yWindow="1140" windowWidth="28800" windowHeight="11295" xr2:uid="{32E37FDE-5F19-494D-B18B-E9DDBECBA15F}"/>
  </bookViews>
  <sheets>
    <sheet name="Cover Page" sheetId="14" r:id="rId1"/>
    <sheet name="Table of Content" sheetId="13" r:id="rId2"/>
    <sheet name="Summary Page" sheetId="12" r:id="rId3"/>
    <sheet name="Dashboard" sheetId="11" r:id="rId4"/>
    <sheet name="Assumptions" sheetId="1" r:id="rId5"/>
    <sheet name="Workings" sheetId="2" r:id="rId6"/>
    <sheet name="Income Statement" sheetId="3" r:id="rId7"/>
    <sheet name="Balance Sheet" sheetId="4" r:id="rId8"/>
    <sheet name="Cashflow Statement" sheetId="5" r:id="rId9"/>
    <sheet name="Valuation" sheetId="6" r:id="rId10"/>
    <sheet name="Financial Ratios" sheetId="7" r:id="rId11"/>
    <sheet name="Data Page" sheetId="8" r:id="rId12"/>
    <sheet name="Pivot Tables" sheetId="10" r:id="rId13"/>
  </sheets>
  <definedNames>
    <definedName name="Slicer_Year">#N/A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10" l="1"/>
  <c r="J17" i="10"/>
  <c r="H17" i="10"/>
  <c r="L1" i="8"/>
  <c r="J1" i="7"/>
  <c r="M1" i="6"/>
  <c r="M1" i="5"/>
  <c r="M1" i="4"/>
  <c r="M1" i="3"/>
  <c r="M1" i="2"/>
  <c r="L1" i="1"/>
  <c r="R1" i="11"/>
  <c r="N1" i="12"/>
  <c r="L1" i="13"/>
  <c r="I60" i="1"/>
  <c r="J60" i="1" s="1"/>
  <c r="K60" i="1" s="1"/>
  <c r="L60" i="1" s="1"/>
  <c r="I37" i="1"/>
  <c r="J37" i="1" s="1"/>
  <c r="K37" i="1" s="1"/>
  <c r="L37" i="1" s="1"/>
  <c r="I31" i="1"/>
  <c r="J31" i="1" s="1"/>
  <c r="K31" i="1" s="1"/>
  <c r="L31" i="1" s="1"/>
  <c r="I28" i="1"/>
  <c r="J28" i="1" s="1"/>
  <c r="K28" i="1" s="1"/>
  <c r="L28" i="1" s="1"/>
  <c r="K31" i="2"/>
  <c r="L31" i="2"/>
  <c r="M31" i="2"/>
  <c r="J31" i="2"/>
  <c r="K30" i="2"/>
  <c r="L30" i="2"/>
  <c r="M30" i="2"/>
  <c r="J30" i="2"/>
  <c r="I31" i="2"/>
  <c r="I30" i="2"/>
  <c r="M39" i="2" a="1"/>
  <c r="M39" i="2" s="1"/>
  <c r="M19" i="2" s="1"/>
  <c r="L39" i="2" a="1"/>
  <c r="L39" i="2" s="1"/>
  <c r="L19" i="2" s="1"/>
  <c r="K39" i="2" a="1"/>
  <c r="K39" i="2" s="1"/>
  <c r="K19" i="2" s="1"/>
  <c r="J39" i="2" a="1"/>
  <c r="J39" i="2" s="1"/>
  <c r="J19" i="2" s="1"/>
  <c r="I39" i="2" a="1"/>
  <c r="I39" i="2" s="1"/>
  <c r="I19" i="2" s="1"/>
  <c r="H40" i="2" a="1"/>
  <c r="H40" i="2" s="1"/>
  <c r="M49" i="2" a="1"/>
  <c r="M49" i="2" s="1"/>
  <c r="L49" i="2" a="1"/>
  <c r="L49" i="2" s="1"/>
  <c r="K49" i="2" a="1"/>
  <c r="K49" i="2" s="1"/>
  <c r="J49" i="2" a="1"/>
  <c r="J49" i="2" s="1"/>
  <c r="I49" i="2" a="1"/>
  <c r="I49" i="2" s="1"/>
  <c r="I17" i="2" a="1"/>
  <c r="I17" i="2" s="1"/>
  <c r="K55" i="2" a="1"/>
  <c r="K55" i="2" s="1"/>
  <c r="L55" i="2" a="1"/>
  <c r="L55" i="2" s="1"/>
  <c r="M55" i="2" a="1"/>
  <c r="M55" i="2" s="1"/>
  <c r="J55" i="2" a="1"/>
  <c r="J55" i="2" s="1"/>
  <c r="I55" i="2" a="1"/>
  <c r="I55" i="2" s="1"/>
  <c r="M54" i="2" a="1"/>
  <c r="M54" i="2" s="1"/>
  <c r="L54" i="2" a="1"/>
  <c r="L54" i="2" s="1"/>
  <c r="K54" i="2" a="1"/>
  <c r="K54" i="2" s="1"/>
  <c r="J54" i="2" a="1"/>
  <c r="J54" i="2" s="1"/>
  <c r="I54" i="2" a="1"/>
  <c r="I54" i="2" s="1"/>
  <c r="I45" i="2" a="1"/>
  <c r="I45" i="2" s="1"/>
  <c r="I32" i="2" a="1"/>
  <c r="I32" i="2" s="1"/>
  <c r="I29" i="2" a="1"/>
  <c r="I29" i="2" s="1"/>
  <c r="J29" i="2" a="1"/>
  <c r="J29" i="2" s="1"/>
  <c r="K29" i="2" a="1"/>
  <c r="K29" i="2" s="1"/>
  <c r="L29" i="2" a="1"/>
  <c r="L29" i="2" s="1"/>
  <c r="M29" i="2" a="1"/>
  <c r="M29" i="2" s="1"/>
  <c r="I8" i="2" a="1"/>
  <c r="I8" i="2" s="1"/>
  <c r="J8" i="2" a="1"/>
  <c r="J8" i="2" s="1"/>
  <c r="J7" i="2" a="1"/>
  <c r="J7" i="2" s="1"/>
  <c r="I7" i="2" a="1"/>
  <c r="I7" i="2" s="1"/>
  <c r="I80" i="2" l="1"/>
  <c r="J114" i="2"/>
  <c r="J115" i="2" s="1"/>
  <c r="K114" i="2"/>
  <c r="K115" i="2" s="1"/>
  <c r="L114" i="2"/>
  <c r="L115" i="2" s="1"/>
  <c r="M114" i="2"/>
  <c r="M115" i="2" s="1"/>
  <c r="I114" i="2"/>
  <c r="I115" i="2" s="1"/>
  <c r="H12" i="12"/>
  <c r="I12" i="12" s="1"/>
  <c r="J12" i="12" s="1"/>
  <c r="K12" i="12" s="1"/>
  <c r="C57" i="6" l="1"/>
  <c r="H126" i="2"/>
  <c r="J47" i="6" s="1"/>
  <c r="H138" i="2"/>
  <c r="H140" i="2"/>
  <c r="H130" i="2"/>
  <c r="D95" i="2"/>
  <c r="J8" i="5"/>
  <c r="K8" i="5"/>
  <c r="L8" i="5"/>
  <c r="M8" i="5"/>
  <c r="I14" i="5"/>
  <c r="M36" i="6"/>
  <c r="L36" i="6"/>
  <c r="K36" i="6"/>
  <c r="J36" i="6"/>
  <c r="H134" i="2" l="1"/>
  <c r="H123" i="2" s="1"/>
  <c r="C55" i="6" s="1"/>
  <c r="K8" i="2" a="1"/>
  <c r="K8" i="2" s="1"/>
  <c r="K7" i="2" a="1"/>
  <c r="K7" i="2" s="1"/>
  <c r="J45" i="2" a="1"/>
  <c r="J45" i="2" s="1"/>
  <c r="J17" i="2" a="1"/>
  <c r="J17" i="2" s="1"/>
  <c r="I109" i="2"/>
  <c r="I22" i="5" s="1"/>
  <c r="M47" i="6"/>
  <c r="L47" i="6"/>
  <c r="I47" i="6"/>
  <c r="K47" i="6"/>
  <c r="M11" i="6"/>
  <c r="L11" i="6"/>
  <c r="K11" i="6"/>
  <c r="J11" i="6"/>
  <c r="I40" i="2"/>
  <c r="I28" i="5"/>
  <c r="I16" i="5"/>
  <c r="L38" i="4"/>
  <c r="J28" i="12" s="1"/>
  <c r="M38" i="4"/>
  <c r="K28" i="12" s="1"/>
  <c r="M8" i="2" l="1" a="1"/>
  <c r="M8" i="2" s="1"/>
  <c r="L8" i="2" a="1"/>
  <c r="L8" i="2" s="1"/>
  <c r="M7" i="2" a="1"/>
  <c r="M7" i="2" s="1"/>
  <c r="L7" i="2" a="1"/>
  <c r="L7" i="2" s="1"/>
  <c r="K45" i="2" a="1"/>
  <c r="K45" i="2" s="1"/>
  <c r="K17" i="2" a="1"/>
  <c r="K17" i="2" s="1"/>
  <c r="J40" i="2"/>
  <c r="J9" i="4" s="1"/>
  <c r="I9" i="4"/>
  <c r="M17" i="2" l="1" a="1"/>
  <c r="M17" i="2" s="1"/>
  <c r="L17" i="2" a="1"/>
  <c r="L17" i="2" s="1"/>
  <c r="M45" i="2" a="1"/>
  <c r="M45" i="2" s="1"/>
  <c r="L45" i="2" a="1"/>
  <c r="L45" i="2" s="1"/>
  <c r="J109" i="2"/>
  <c r="J22" i="5" s="1"/>
  <c r="K109" i="2"/>
  <c r="K22" i="5" s="1"/>
  <c r="K40" i="2"/>
  <c r="I15" i="5"/>
  <c r="I81" i="2"/>
  <c r="M109" i="2" l="1"/>
  <c r="M22" i="5" s="1"/>
  <c r="L109" i="2"/>
  <c r="L22" i="5" s="1"/>
  <c r="K20" i="4"/>
  <c r="L14" i="5" s="1"/>
  <c r="L15" i="5" s="1"/>
  <c r="J20" i="4"/>
  <c r="K14" i="5" s="1"/>
  <c r="K15" i="5" s="1"/>
  <c r="J21" i="5"/>
  <c r="J38" i="6" s="1"/>
  <c r="L21" i="5"/>
  <c r="L15" i="6" s="1"/>
  <c r="M10" i="4"/>
  <c r="K10" i="4"/>
  <c r="J10" i="4"/>
  <c r="I10" i="4"/>
  <c r="L10" i="4"/>
  <c r="I78" i="2"/>
  <c r="I21" i="5"/>
  <c r="M21" i="5"/>
  <c r="M11" i="4"/>
  <c r="J11" i="4"/>
  <c r="I11" i="4"/>
  <c r="L11" i="4"/>
  <c r="K11" i="4"/>
  <c r="K21" i="5"/>
  <c r="L40" i="2"/>
  <c r="K9" i="4"/>
  <c r="K56" i="2"/>
  <c r="I56" i="2"/>
  <c r="J56" i="2"/>
  <c r="M56" i="2"/>
  <c r="L56" i="2"/>
  <c r="I9" i="2"/>
  <c r="I11" i="2" s="1" a="1"/>
  <c r="I11" i="2" s="1"/>
  <c r="K9" i="2"/>
  <c r="K11" i="2" s="1" a="1"/>
  <c r="K11" i="2" s="1"/>
  <c r="L65" i="2"/>
  <c r="K64" i="2"/>
  <c r="M65" i="2"/>
  <c r="I65" i="2"/>
  <c r="J65" i="2"/>
  <c r="K65" i="2"/>
  <c r="I64" i="2"/>
  <c r="J64" i="2"/>
  <c r="M64" i="2"/>
  <c r="L64" i="2"/>
  <c r="E90" i="1"/>
  <c r="E84" i="1"/>
  <c r="F72" i="1"/>
  <c r="F67" i="1"/>
  <c r="L20" i="4" l="1"/>
  <c r="M14" i="5" s="1"/>
  <c r="M15" i="5" s="1"/>
  <c r="M20" i="4"/>
  <c r="L38" i="6"/>
  <c r="J15" i="6"/>
  <c r="M38" i="6"/>
  <c r="M15" i="6"/>
  <c r="K71" i="2"/>
  <c r="L71" i="2"/>
  <c r="M71" i="2"/>
  <c r="J71" i="2"/>
  <c r="I71" i="2"/>
  <c r="J70" i="2"/>
  <c r="I70" i="2"/>
  <c r="K70" i="2"/>
  <c r="M70" i="2"/>
  <c r="L70" i="2"/>
  <c r="K38" i="6"/>
  <c r="K15" i="6"/>
  <c r="I38" i="6"/>
  <c r="I15" i="6"/>
  <c r="M40" i="2"/>
  <c r="M9" i="4" s="1"/>
  <c r="L9" i="4"/>
  <c r="L9" i="2"/>
  <c r="L11" i="2" s="1" a="1"/>
  <c r="L11" i="2" s="1"/>
  <c r="J9" i="2"/>
  <c r="J11" i="2" s="1" a="1"/>
  <c r="J11" i="2" s="1"/>
  <c r="I13" i="2" l="1"/>
  <c r="I6" i="3" s="1"/>
  <c r="K13" i="2"/>
  <c r="M9" i="2"/>
  <c r="M11" i="2" s="1" a="1"/>
  <c r="M11" i="2" s="1"/>
  <c r="C6" i="8" l="1"/>
  <c r="G14" i="12"/>
  <c r="K27" i="2"/>
  <c r="K6" i="3"/>
  <c r="I26" i="2"/>
  <c r="I27" i="2"/>
  <c r="I28" i="2"/>
  <c r="J13" i="2"/>
  <c r="J6" i="3" s="1"/>
  <c r="K28" i="2"/>
  <c r="K26" i="2"/>
  <c r="L13" i="2"/>
  <c r="C7" i="8" l="1"/>
  <c r="H14" i="12"/>
  <c r="C8" i="8"/>
  <c r="I14" i="12"/>
  <c r="L27" i="2"/>
  <c r="L6" i="3"/>
  <c r="J27" i="2"/>
  <c r="J28" i="2"/>
  <c r="J26" i="2"/>
  <c r="M13" i="2"/>
  <c r="L28" i="2"/>
  <c r="L26" i="2"/>
  <c r="C9" i="8" l="1"/>
  <c r="J14" i="12"/>
  <c r="M27" i="2"/>
  <c r="M6" i="3"/>
  <c r="M28" i="2"/>
  <c r="M26" i="2"/>
  <c r="C10" i="8" l="1"/>
  <c r="K14" i="12"/>
  <c r="J33" i="2"/>
  <c r="J11" i="3" s="1"/>
  <c r="K33" i="2"/>
  <c r="K11" i="3" s="1"/>
  <c r="L33" i="2"/>
  <c r="L11" i="3" s="1"/>
  <c r="M33" i="2"/>
  <c r="M11" i="3" s="1"/>
  <c r="G15" i="8" l="1"/>
  <c r="I17" i="12"/>
  <c r="G13" i="8"/>
  <c r="H17" i="12"/>
  <c r="G19" i="8"/>
  <c r="K17" i="12"/>
  <c r="G17" i="8"/>
  <c r="J17" i="12"/>
  <c r="I33" i="2"/>
  <c r="I11" i="3" l="1"/>
  <c r="I82" i="2"/>
  <c r="I84" i="2" s="1"/>
  <c r="I89" i="2" s="1"/>
  <c r="I20" i="4"/>
  <c r="J14" i="5" s="1"/>
  <c r="J15" i="5" s="1"/>
  <c r="I23" i="5"/>
  <c r="G34" i="12" s="1"/>
  <c r="J23" i="5"/>
  <c r="H34" i="12" s="1"/>
  <c r="K23" i="5"/>
  <c r="I34" i="12" s="1"/>
  <c r="L23" i="5"/>
  <c r="J34" i="12" s="1"/>
  <c r="M23" i="5"/>
  <c r="K34" i="12" s="1"/>
  <c r="G11" i="8" l="1"/>
  <c r="G17" i="12"/>
  <c r="I87" i="2"/>
  <c r="I88" i="2"/>
  <c r="H127" i="2" s="1"/>
  <c r="H124" i="2" l="1"/>
  <c r="H129" i="2" s="1"/>
  <c r="G8" i="12"/>
  <c r="E97" i="1"/>
  <c r="D94" i="2"/>
  <c r="D96" i="2" s="1"/>
  <c r="I27" i="5"/>
  <c r="I31" i="4"/>
  <c r="M31" i="4"/>
  <c r="K31" i="4"/>
  <c r="J31" i="4"/>
  <c r="L31" i="4"/>
  <c r="I26" i="5"/>
  <c r="H121" i="2" l="1"/>
  <c r="C53" i="6" s="1"/>
  <c r="E101" i="2"/>
  <c r="D101" i="2"/>
  <c r="K23" i="6" l="1"/>
  <c r="L23" i="6"/>
  <c r="I23" i="6"/>
  <c r="J23" i="6"/>
  <c r="M23" i="6"/>
  <c r="F101" i="2"/>
  <c r="I18" i="2" s="1"/>
  <c r="I29" i="5"/>
  <c r="I31" i="5" s="1"/>
  <c r="G35" i="12" s="1"/>
  <c r="M29" i="5"/>
  <c r="J29" i="5"/>
  <c r="K29" i="5"/>
  <c r="E102" i="2"/>
  <c r="L29" i="5"/>
  <c r="I113" i="2" l="1"/>
  <c r="I116" i="2" s="1"/>
  <c r="I13" i="6" s="1"/>
  <c r="E103" i="2"/>
  <c r="I46" i="2"/>
  <c r="I47" i="2" s="1"/>
  <c r="G101" i="2"/>
  <c r="H101" i="2" s="1"/>
  <c r="I11" i="5" l="1"/>
  <c r="I20" i="2"/>
  <c r="I7" i="3" s="1"/>
  <c r="G15" i="12" s="1"/>
  <c r="I8" i="4"/>
  <c r="I51" i="2"/>
  <c r="I61" i="2"/>
  <c r="D102" i="2"/>
  <c r="I36" i="4"/>
  <c r="E104" i="2"/>
  <c r="I9" i="3" l="1"/>
  <c r="G16" i="12" s="1"/>
  <c r="D6" i="8"/>
  <c r="I38" i="4"/>
  <c r="G28" i="12" s="1"/>
  <c r="I40" i="6"/>
  <c r="I69" i="2"/>
  <c r="I72" i="2" s="1"/>
  <c r="E105" i="2"/>
  <c r="F102" i="2"/>
  <c r="J18" i="2" s="1"/>
  <c r="I66" i="2"/>
  <c r="I15" i="3" s="1"/>
  <c r="G12" i="8" s="1"/>
  <c r="J113" i="2" l="1"/>
  <c r="J116" i="2" s="1"/>
  <c r="J13" i="6" s="1"/>
  <c r="J20" i="2"/>
  <c r="J7" i="3" s="1"/>
  <c r="I13" i="3"/>
  <c r="G18" i="12" s="1"/>
  <c r="F7" i="7"/>
  <c r="E6" i="8"/>
  <c r="I35" i="6"/>
  <c r="I10" i="6"/>
  <c r="I9" i="5"/>
  <c r="I12" i="4"/>
  <c r="I13" i="4" s="1"/>
  <c r="J46" i="2"/>
  <c r="J47" i="2" s="1"/>
  <c r="G102" i="2"/>
  <c r="H102" i="2" s="1"/>
  <c r="I17" i="3" l="1"/>
  <c r="I19" i="3" s="1"/>
  <c r="I22" i="4" s="1"/>
  <c r="G23" i="12"/>
  <c r="J6" i="8"/>
  <c r="G40" i="12"/>
  <c r="D7" i="8"/>
  <c r="H15" i="12"/>
  <c r="F8" i="7"/>
  <c r="G41" i="12" s="1"/>
  <c r="F25" i="7"/>
  <c r="G51" i="12" s="1"/>
  <c r="H6" i="8"/>
  <c r="J36" i="4"/>
  <c r="D103" i="2"/>
  <c r="J11" i="5"/>
  <c r="J9" i="3"/>
  <c r="H16" i="12" s="1"/>
  <c r="J51" i="2"/>
  <c r="J8" i="4"/>
  <c r="J61" i="2"/>
  <c r="G19" i="12" l="1"/>
  <c r="I21" i="3"/>
  <c r="G20" i="12" s="1"/>
  <c r="I10" i="5"/>
  <c r="J16" i="5"/>
  <c r="J13" i="3"/>
  <c r="H18" i="12" s="1"/>
  <c r="E7" i="8"/>
  <c r="G7" i="7"/>
  <c r="J38" i="4"/>
  <c r="H28" i="12" s="1"/>
  <c r="J40" i="6"/>
  <c r="J69" i="2"/>
  <c r="J72" i="2" s="1"/>
  <c r="F103" i="2"/>
  <c r="K18" i="2" s="1"/>
  <c r="J66" i="2"/>
  <c r="J15" i="3" s="1"/>
  <c r="G14" i="8" s="1"/>
  <c r="I32" i="6" l="1"/>
  <c r="I41" i="6" s="1"/>
  <c r="I45" i="6" s="1"/>
  <c r="I49" i="6" s="1"/>
  <c r="K113" i="2"/>
  <c r="K116" i="2" s="1"/>
  <c r="K13" i="6" s="1"/>
  <c r="K20" i="2"/>
  <c r="K7" i="3" s="1"/>
  <c r="I6" i="5"/>
  <c r="I12" i="5" s="1"/>
  <c r="I18" i="5" s="1"/>
  <c r="I7" i="6"/>
  <c r="I17" i="6" s="1"/>
  <c r="I21" i="6" s="1"/>
  <c r="I25" i="6" s="1"/>
  <c r="F9" i="7"/>
  <c r="K6" i="8" s="1"/>
  <c r="I23" i="3"/>
  <c r="I21" i="4" s="1"/>
  <c r="I24" i="4" s="1"/>
  <c r="I6" i="8"/>
  <c r="J7" i="8"/>
  <c r="H40" i="12"/>
  <c r="G8" i="7"/>
  <c r="H41" i="12" s="1"/>
  <c r="H7" i="8"/>
  <c r="G25" i="7"/>
  <c r="H51" i="12" s="1"/>
  <c r="J35" i="6"/>
  <c r="J10" i="6"/>
  <c r="J9" i="5"/>
  <c r="J12" i="4"/>
  <c r="J13" i="4" s="1"/>
  <c r="K46" i="2"/>
  <c r="K47" i="2" s="1"/>
  <c r="G103" i="2"/>
  <c r="H103" i="2" s="1"/>
  <c r="J17" i="3"/>
  <c r="H19" i="12" s="1"/>
  <c r="I33" i="5" l="1"/>
  <c r="I35" i="5" s="1"/>
  <c r="J34" i="5" s="1"/>
  <c r="G33" i="12"/>
  <c r="I25" i="3"/>
  <c r="I26" i="3" s="1"/>
  <c r="I32" i="4" s="1"/>
  <c r="I33" i="4" s="1"/>
  <c r="G37" i="12"/>
  <c r="G42" i="12"/>
  <c r="J28" i="5"/>
  <c r="J31" i="5" s="1"/>
  <c r="H35" i="12" s="1"/>
  <c r="G29" i="12"/>
  <c r="D8" i="8"/>
  <c r="I15" i="12"/>
  <c r="H23" i="12"/>
  <c r="D104" i="2"/>
  <c r="K36" i="4"/>
  <c r="J19" i="3"/>
  <c r="J22" i="4" s="1"/>
  <c r="K51" i="2"/>
  <c r="K61" i="2"/>
  <c r="K8" i="4"/>
  <c r="K11" i="5"/>
  <c r="K9" i="3"/>
  <c r="I16" i="12" s="1"/>
  <c r="G36" i="12" l="1"/>
  <c r="I16" i="4"/>
  <c r="I17" i="4" s="1"/>
  <c r="F12" i="7" s="1"/>
  <c r="G44" i="12" s="1"/>
  <c r="G30" i="12"/>
  <c r="G27" i="12"/>
  <c r="K13" i="3"/>
  <c r="I18" i="12" s="1"/>
  <c r="H7" i="7"/>
  <c r="E8" i="8"/>
  <c r="I40" i="4"/>
  <c r="F22" i="7"/>
  <c r="G45" i="12" s="1"/>
  <c r="K38" i="4"/>
  <c r="I28" i="12" s="1"/>
  <c r="L40" i="6"/>
  <c r="K40" i="6"/>
  <c r="K69" i="2"/>
  <c r="K72" i="2" s="1"/>
  <c r="K12" i="4" s="1"/>
  <c r="K13" i="4" s="1"/>
  <c r="F104" i="2"/>
  <c r="L18" i="2" s="1"/>
  <c r="K66" i="2"/>
  <c r="K15" i="3" s="1"/>
  <c r="G16" i="8" s="1"/>
  <c r="K16" i="5"/>
  <c r="J10" i="5"/>
  <c r="J21" i="3"/>
  <c r="H20" i="12" s="1"/>
  <c r="G25" i="12" l="1"/>
  <c r="G24" i="12"/>
  <c r="F30" i="7"/>
  <c r="G52" i="12" s="1"/>
  <c r="L113" i="2"/>
  <c r="L116" i="2" s="1"/>
  <c r="L13" i="6" s="1"/>
  <c r="L20" i="2"/>
  <c r="L7" i="3" s="1"/>
  <c r="I26" i="4"/>
  <c r="I28" i="4" s="1"/>
  <c r="F11" i="7" s="1"/>
  <c r="L6" i="8" s="1"/>
  <c r="F23" i="7"/>
  <c r="G46" i="12" s="1"/>
  <c r="F18" i="7"/>
  <c r="G50" i="12" s="1"/>
  <c r="F17" i="7"/>
  <c r="G49" i="12" s="1"/>
  <c r="F16" i="7"/>
  <c r="G48" i="12" s="1"/>
  <c r="F24" i="7"/>
  <c r="G47" i="12" s="1"/>
  <c r="I23" i="12"/>
  <c r="J8" i="8"/>
  <c r="I40" i="12"/>
  <c r="I7" i="8"/>
  <c r="G9" i="7"/>
  <c r="H8" i="8"/>
  <c r="H25" i="7"/>
  <c r="I51" i="12" s="1"/>
  <c r="H8" i="7"/>
  <c r="I41" i="12" s="1"/>
  <c r="J32" i="6"/>
  <c r="J41" i="6" s="1"/>
  <c r="J45" i="6" s="1"/>
  <c r="J49" i="6" s="1"/>
  <c r="J7" i="6"/>
  <c r="J17" i="6" s="1"/>
  <c r="K9" i="5"/>
  <c r="K35" i="6"/>
  <c r="K10" i="6"/>
  <c r="J23" i="3"/>
  <c r="J25" i="3" s="1"/>
  <c r="J26" i="3" s="1"/>
  <c r="J32" i="4" s="1"/>
  <c r="J6" i="5"/>
  <c r="J12" i="5" s="1"/>
  <c r="J18" i="5" s="1"/>
  <c r="L46" i="2"/>
  <c r="L47" i="2" s="1"/>
  <c r="G104" i="2"/>
  <c r="H104" i="2" s="1"/>
  <c r="K17" i="3"/>
  <c r="I19" i="12" s="1"/>
  <c r="I42" i="4" l="1"/>
  <c r="G43" i="12"/>
  <c r="I43" i="4"/>
  <c r="D9" i="8"/>
  <c r="J15" i="12"/>
  <c r="J21" i="6"/>
  <c r="J25" i="6" s="1"/>
  <c r="H37" i="12"/>
  <c r="J33" i="5"/>
  <c r="J35" i="5" s="1"/>
  <c r="H36" i="12" s="1"/>
  <c r="H33" i="12"/>
  <c r="K7" i="8"/>
  <c r="H42" i="12"/>
  <c r="L11" i="5"/>
  <c r="L9" i="3"/>
  <c r="J16" i="12" s="1"/>
  <c r="K19" i="3"/>
  <c r="K22" i="4" s="1"/>
  <c r="J33" i="4"/>
  <c r="L23" i="4"/>
  <c r="D105" i="2"/>
  <c r="L51" i="2"/>
  <c r="L8" i="4"/>
  <c r="L61" i="2"/>
  <c r="J21" i="4"/>
  <c r="J24" i="4" s="1"/>
  <c r="H29" i="12" s="1"/>
  <c r="K28" i="5"/>
  <c r="K31" i="5" s="1"/>
  <c r="I35" i="12" s="1"/>
  <c r="J16" i="4" l="1"/>
  <c r="G18" i="7" s="1"/>
  <c r="H50" i="12" s="1"/>
  <c r="K34" i="5"/>
  <c r="H30" i="12"/>
  <c r="H27" i="12"/>
  <c r="L13" i="3"/>
  <c r="J18" i="12" s="1"/>
  <c r="E9" i="8"/>
  <c r="I7" i="7"/>
  <c r="J40" i="4"/>
  <c r="G22" i="7"/>
  <c r="H45" i="12" s="1"/>
  <c r="L69" i="2"/>
  <c r="L72" i="2" s="1"/>
  <c r="K21" i="3"/>
  <c r="I20" i="12" s="1"/>
  <c r="L66" i="2"/>
  <c r="L15" i="3" s="1"/>
  <c r="G18" i="8" s="1"/>
  <c r="F105" i="2"/>
  <c r="M18" i="2" s="1"/>
  <c r="K10" i="5"/>
  <c r="L16" i="5"/>
  <c r="M113" i="2" l="1"/>
  <c r="M116" i="2" s="1"/>
  <c r="M13" i="6" s="1"/>
  <c r="M20" i="2"/>
  <c r="M7" i="3" s="1"/>
  <c r="J17" i="4"/>
  <c r="H24" i="12" s="1"/>
  <c r="J9" i="8"/>
  <c r="J40" i="12"/>
  <c r="K6" i="5"/>
  <c r="K12" i="5" s="1"/>
  <c r="K18" i="5" s="1"/>
  <c r="H9" i="7"/>
  <c r="I8" i="8"/>
  <c r="K23" i="3"/>
  <c r="K25" i="3" s="1"/>
  <c r="K26" i="3" s="1"/>
  <c r="K32" i="4" s="1"/>
  <c r="K33" i="4" s="1"/>
  <c r="I8" i="7"/>
  <c r="J41" i="12" s="1"/>
  <c r="H9" i="8"/>
  <c r="I25" i="7"/>
  <c r="J51" i="12" s="1"/>
  <c r="K32" i="6"/>
  <c r="K41" i="6" s="1"/>
  <c r="K45" i="6" s="1"/>
  <c r="K49" i="6" s="1"/>
  <c r="K7" i="6"/>
  <c r="K17" i="6" s="1"/>
  <c r="L9" i="5"/>
  <c r="L35" i="6"/>
  <c r="L10" i="6"/>
  <c r="L12" i="4"/>
  <c r="L13" i="4" s="1"/>
  <c r="L17" i="3"/>
  <c r="M46" i="2"/>
  <c r="M47" i="2" s="1"/>
  <c r="G105" i="2"/>
  <c r="H105" i="2" s="1"/>
  <c r="G24" i="7" l="1"/>
  <c r="H47" i="12" s="1"/>
  <c r="G17" i="7"/>
  <c r="H49" i="12" s="1"/>
  <c r="G30" i="7"/>
  <c r="H52" i="12" s="1"/>
  <c r="G23" i="7"/>
  <c r="H46" i="12" s="1"/>
  <c r="G12" i="7"/>
  <c r="H44" i="12" s="1"/>
  <c r="J26" i="4"/>
  <c r="J28" i="4" s="1"/>
  <c r="G16" i="7"/>
  <c r="H48" i="12" s="1"/>
  <c r="H25" i="12"/>
  <c r="K21" i="4"/>
  <c r="K24" i="4" s="1"/>
  <c r="I29" i="12" s="1"/>
  <c r="K33" i="5"/>
  <c r="K35" i="5" s="1"/>
  <c r="I36" i="12" s="1"/>
  <c r="I33" i="12"/>
  <c r="I27" i="12"/>
  <c r="D10" i="8"/>
  <c r="K15" i="12"/>
  <c r="J23" i="12"/>
  <c r="K21" i="6"/>
  <c r="K25" i="6" s="1"/>
  <c r="I37" i="12"/>
  <c r="K8" i="8"/>
  <c r="I42" i="12"/>
  <c r="L19" i="3"/>
  <c r="L22" i="4" s="1"/>
  <c r="J19" i="12"/>
  <c r="K40" i="4"/>
  <c r="H22" i="7"/>
  <c r="I45" i="12" s="1"/>
  <c r="L28" i="5"/>
  <c r="L31" i="5" s="1"/>
  <c r="J35" i="12" s="1"/>
  <c r="M9" i="3"/>
  <c r="K16" i="12" s="1"/>
  <c r="M11" i="5"/>
  <c r="M51" i="2"/>
  <c r="M61" i="2"/>
  <c r="M69" i="2" s="1"/>
  <c r="M8" i="4"/>
  <c r="J43" i="4" l="1"/>
  <c r="I30" i="12"/>
  <c r="J42" i="4"/>
  <c r="G11" i="7"/>
  <c r="L7" i="8" s="1"/>
  <c r="L21" i="3"/>
  <c r="J20" i="12" s="1"/>
  <c r="L34" i="5"/>
  <c r="L10" i="5"/>
  <c r="M16" i="5"/>
  <c r="K16" i="4"/>
  <c r="K17" i="4" s="1"/>
  <c r="M13" i="3"/>
  <c r="K18" i="12" s="1"/>
  <c r="J7" i="7"/>
  <c r="E10" i="8"/>
  <c r="M66" i="2"/>
  <c r="M15" i="3" s="1"/>
  <c r="G20" i="8" s="1"/>
  <c r="M72" i="2"/>
  <c r="L32" i="6" l="1"/>
  <c r="L41" i="6" s="1"/>
  <c r="L45" i="6" s="1"/>
  <c r="L49" i="6" s="1"/>
  <c r="H43" i="12"/>
  <c r="I9" i="8"/>
  <c r="I9" i="7"/>
  <c r="K9" i="8" s="1"/>
  <c r="L6" i="5"/>
  <c r="L12" i="5" s="1"/>
  <c r="L18" i="5" s="1"/>
  <c r="L33" i="5" s="1"/>
  <c r="L35" i="5" s="1"/>
  <c r="M34" i="5" s="1"/>
  <c r="L23" i="3"/>
  <c r="L25" i="3" s="1"/>
  <c r="L26" i="3" s="1"/>
  <c r="L32" i="4" s="1"/>
  <c r="L33" i="4" s="1"/>
  <c r="L7" i="6"/>
  <c r="L17" i="6" s="1"/>
  <c r="J37" i="12" s="1"/>
  <c r="H18" i="7"/>
  <c r="I50" i="12" s="1"/>
  <c r="J10" i="8"/>
  <c r="K40" i="12"/>
  <c r="I24" i="12"/>
  <c r="I25" i="12"/>
  <c r="J8" i="7"/>
  <c r="K41" i="12" s="1"/>
  <c r="J25" i="7"/>
  <c r="K51" i="12" s="1"/>
  <c r="H10" i="8"/>
  <c r="K26" i="4"/>
  <c r="K28" i="4" s="1"/>
  <c r="H17" i="7"/>
  <c r="I49" i="12" s="1"/>
  <c r="H30" i="7"/>
  <c r="I52" i="12" s="1"/>
  <c r="H16" i="7"/>
  <c r="I48" i="12" s="1"/>
  <c r="H24" i="7"/>
  <c r="I47" i="12" s="1"/>
  <c r="H12" i="7"/>
  <c r="I44" i="12" s="1"/>
  <c r="H23" i="7"/>
  <c r="I46" i="12" s="1"/>
  <c r="M35" i="6"/>
  <c r="M10" i="6"/>
  <c r="M9" i="5"/>
  <c r="M12" i="4"/>
  <c r="M13" i="4" s="1"/>
  <c r="M17" i="3"/>
  <c r="J42" i="12" l="1"/>
  <c r="M28" i="5"/>
  <c r="M31" i="5" s="1"/>
  <c r="K35" i="12" s="1"/>
  <c r="L21" i="6"/>
  <c r="L25" i="6" s="1"/>
  <c r="L21" i="4"/>
  <c r="L24" i="4" s="1"/>
  <c r="J29" i="12" s="1"/>
  <c r="J33" i="12"/>
  <c r="J27" i="12"/>
  <c r="M19" i="3"/>
  <c r="M10" i="5" s="1"/>
  <c r="K19" i="12"/>
  <c r="K23" i="12"/>
  <c r="L16" i="4"/>
  <c r="J36" i="12"/>
  <c r="L40" i="4"/>
  <c r="I22" i="7"/>
  <c r="J45" i="12" s="1"/>
  <c r="H11" i="7"/>
  <c r="K42" i="4"/>
  <c r="K43" i="4"/>
  <c r="J30" i="12" l="1"/>
  <c r="M21" i="3"/>
  <c r="K20" i="12" s="1"/>
  <c r="M22" i="4"/>
  <c r="I18" i="7"/>
  <c r="J50" i="12" s="1"/>
  <c r="L17" i="4"/>
  <c r="L8" i="8"/>
  <c r="I43" i="12"/>
  <c r="I10" i="8" l="1"/>
  <c r="M7" i="6"/>
  <c r="J9" i="7"/>
  <c r="K10" i="8" s="1"/>
  <c r="M6" i="5"/>
  <c r="M12" i="5" s="1"/>
  <c r="M18" i="5" s="1"/>
  <c r="M33" i="5" s="1"/>
  <c r="M35" i="5" s="1"/>
  <c r="M32" i="6"/>
  <c r="M41" i="6" s="1"/>
  <c r="M42" i="6" s="1"/>
  <c r="M45" i="6" s="1"/>
  <c r="M49" i="6" s="1"/>
  <c r="I51" i="6" s="1"/>
  <c r="G10" i="12" s="1"/>
  <c r="M23" i="3"/>
  <c r="M21" i="4" s="1"/>
  <c r="M24" i="4" s="1"/>
  <c r="K29" i="12" s="1"/>
  <c r="J24" i="12"/>
  <c r="J25" i="12"/>
  <c r="I30" i="7"/>
  <c r="J52" i="12" s="1"/>
  <c r="I12" i="7"/>
  <c r="J44" i="12" s="1"/>
  <c r="I17" i="7"/>
  <c r="J49" i="12" s="1"/>
  <c r="L26" i="4"/>
  <c r="L28" i="4" s="1"/>
  <c r="I16" i="7"/>
  <c r="J48" i="12" s="1"/>
  <c r="I23" i="7"/>
  <c r="J46" i="12" s="1"/>
  <c r="I24" i="7"/>
  <c r="J47" i="12" s="1"/>
  <c r="K33" i="12" l="1"/>
  <c r="M25" i="3"/>
  <c r="M26" i="3" s="1"/>
  <c r="M32" i="4" s="1"/>
  <c r="M33" i="4" s="1"/>
  <c r="K27" i="12" s="1"/>
  <c r="K42" i="12"/>
  <c r="M17" i="6"/>
  <c r="K37" i="12" s="1"/>
  <c r="L43" i="4"/>
  <c r="I11" i="7"/>
  <c r="L42" i="4"/>
  <c r="M16" i="4"/>
  <c r="K36" i="12"/>
  <c r="J22" i="7" l="1"/>
  <c r="K45" i="12" s="1"/>
  <c r="K30" i="12"/>
  <c r="M40" i="4"/>
  <c r="M18" i="6"/>
  <c r="M21" i="6" s="1"/>
  <c r="M25" i="6" s="1"/>
  <c r="I27" i="6" s="1"/>
  <c r="G9" i="12" s="1"/>
  <c r="J18" i="7"/>
  <c r="K50" i="12" s="1"/>
  <c r="M17" i="4"/>
  <c r="L9" i="8"/>
  <c r="J43" i="12"/>
  <c r="K24" i="12" l="1"/>
  <c r="K25" i="12"/>
  <c r="M26" i="4"/>
  <c r="M28" i="4" s="1"/>
  <c r="J23" i="7"/>
  <c r="K46" i="12" s="1"/>
  <c r="J16" i="7"/>
  <c r="K48" i="12" s="1"/>
  <c r="J24" i="7"/>
  <c r="K47" i="12" s="1"/>
  <c r="J17" i="7"/>
  <c r="K49" i="12" s="1"/>
  <c r="J12" i="7"/>
  <c r="K44" i="12" s="1"/>
  <c r="J30" i="7"/>
  <c r="K52" i="12" s="1"/>
  <c r="J11" i="7" l="1"/>
  <c r="M42" i="4"/>
  <c r="M43" i="4"/>
  <c r="L10" i="8" l="1"/>
  <c r="K43"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<sst xmlns="http://schemas.openxmlformats.org/spreadsheetml/2006/main" count="441" uniqueCount="287">
  <si>
    <t>Month</t>
  </si>
  <si>
    <t>Number of units</t>
  </si>
  <si>
    <t>Sales units</t>
  </si>
  <si>
    <t>Rental units</t>
  </si>
  <si>
    <t>Retention (held till defect period)</t>
  </si>
  <si>
    <t>After 1 year</t>
  </si>
  <si>
    <t>Other revenue (% of sales)</t>
  </si>
  <si>
    <t>Revenue Assumption</t>
  </si>
  <si>
    <t>Sales unit</t>
  </si>
  <si>
    <t>Rental unit</t>
  </si>
  <si>
    <t>Over 5 years</t>
  </si>
  <si>
    <t>Unit price</t>
  </si>
  <si>
    <t>Annual rent/unit</t>
  </si>
  <si>
    <t>Units</t>
  </si>
  <si>
    <t>GHS</t>
  </si>
  <si>
    <t>Cost Assumption</t>
  </si>
  <si>
    <t>Hard cost</t>
  </si>
  <si>
    <t>%</t>
  </si>
  <si>
    <t>Soft cost (% of hard cost)</t>
  </si>
  <si>
    <t>Cost per sales unit:</t>
  </si>
  <si>
    <t>Cost per rental unit:</t>
  </si>
  <si>
    <t>Corporate tax</t>
  </si>
  <si>
    <t>Land acquisition cost (acquired @ year 0)</t>
  </si>
  <si>
    <t>GHS/plot</t>
  </si>
  <si>
    <t>Number of buildings</t>
  </si>
  <si>
    <t>Contingency</t>
  </si>
  <si>
    <t>Sellimg, General &amp; Admin expense</t>
  </si>
  <si>
    <t>Legal fee</t>
  </si>
  <si>
    <t>GHS/annum</t>
  </si>
  <si>
    <t>Other</t>
  </si>
  <si>
    <t>Capitalised debt arrangement fees</t>
  </si>
  <si>
    <t>Non-current Assets</t>
  </si>
  <si>
    <t>Unit</t>
  </si>
  <si>
    <t>Cost</t>
  </si>
  <si>
    <t>USL</t>
  </si>
  <si>
    <t>Furniture &amp; Fittings</t>
  </si>
  <si>
    <t>Vehicles</t>
  </si>
  <si>
    <t>Fuel &amp; Diesel</t>
  </si>
  <si>
    <t>GHS/month</t>
  </si>
  <si>
    <t>Pre-operation expenditure</t>
  </si>
  <si>
    <t>Legal &amp; Administrative</t>
  </si>
  <si>
    <t>Professional Consultancy</t>
  </si>
  <si>
    <t>Licensing &amp; Permits</t>
  </si>
  <si>
    <t>Financing-Related Costs</t>
  </si>
  <si>
    <t>Pre-Launch Marketing</t>
  </si>
  <si>
    <t>Staffing &amp; Office Setup</t>
  </si>
  <si>
    <t>Financed by</t>
  </si>
  <si>
    <t>Equity</t>
  </si>
  <si>
    <t>Debt</t>
  </si>
  <si>
    <t xml:space="preserve">Total </t>
  </si>
  <si>
    <t>Cost of Equity</t>
  </si>
  <si>
    <t>Dividend Payout ratio</t>
  </si>
  <si>
    <t>Cost of Debt</t>
  </si>
  <si>
    <t>Land Acquisition Cost</t>
  </si>
  <si>
    <t>GHS/unit</t>
  </si>
  <si>
    <t>Assumptions</t>
  </si>
  <si>
    <t>Workings</t>
  </si>
  <si>
    <t>Revenue</t>
  </si>
  <si>
    <t>Cost of Sales</t>
  </si>
  <si>
    <t>Pre-operational expenses</t>
  </si>
  <si>
    <t>Acquisition</t>
  </si>
  <si>
    <t>Building</t>
  </si>
  <si>
    <t>Land</t>
  </si>
  <si>
    <t>Constructed</t>
  </si>
  <si>
    <t>Depreciation</t>
  </si>
  <si>
    <t>Accumulated Depreciation</t>
  </si>
  <si>
    <t>PPE</t>
  </si>
  <si>
    <t>Financing requirement</t>
  </si>
  <si>
    <t>CAPEX</t>
  </si>
  <si>
    <t>OPEX</t>
  </si>
  <si>
    <t>Pre-operation expense</t>
  </si>
  <si>
    <t>Cost of Goods</t>
  </si>
  <si>
    <t>SG&amp;A</t>
  </si>
  <si>
    <t>Total</t>
  </si>
  <si>
    <t>Loan Amortisation</t>
  </si>
  <si>
    <t>Loan amount</t>
  </si>
  <si>
    <t>Payment</t>
  </si>
  <si>
    <t>Payment period</t>
  </si>
  <si>
    <t>Loan Amount</t>
  </si>
  <si>
    <t>Interest</t>
  </si>
  <si>
    <t>Year</t>
  </si>
  <si>
    <t>Balance @ start</t>
  </si>
  <si>
    <t>Principal</t>
  </si>
  <si>
    <t>Balance @ end</t>
  </si>
  <si>
    <t>Annual rate</t>
  </si>
  <si>
    <t>Capitalised interest</t>
  </si>
  <si>
    <t>Retention(Held till defect period)</t>
  </si>
  <si>
    <t>Selling, General &amp; Admin expense</t>
  </si>
  <si>
    <t>Quarter</t>
  </si>
  <si>
    <t>Income Statement</t>
  </si>
  <si>
    <t>Gross profit</t>
  </si>
  <si>
    <t>Operating Profit (EBITA)</t>
  </si>
  <si>
    <t>Profit /Loss Before Tax (EBT)</t>
  </si>
  <si>
    <t>Tax expense</t>
  </si>
  <si>
    <t>Profit/Loss After Tax</t>
  </si>
  <si>
    <t>Dividend</t>
  </si>
  <si>
    <t>Retained Earnings</t>
  </si>
  <si>
    <t>Commulative Retained Earnings</t>
  </si>
  <si>
    <t>Balance Sheet</t>
  </si>
  <si>
    <t>Assets</t>
  </si>
  <si>
    <t>Property, Plant &amp; Equipment</t>
  </si>
  <si>
    <t>Net Book Value</t>
  </si>
  <si>
    <t>Current Assets</t>
  </si>
  <si>
    <t>Cash &amp; Cash Equivalent</t>
  </si>
  <si>
    <t>Total Current Assets</t>
  </si>
  <si>
    <t>Current Liabilities</t>
  </si>
  <si>
    <t>Retention(Held till Defect)</t>
  </si>
  <si>
    <t>Dividend Payable</t>
  </si>
  <si>
    <t>Other income</t>
  </si>
  <si>
    <t>Net Current Assets</t>
  </si>
  <si>
    <t>Capital Employed</t>
  </si>
  <si>
    <t>Equity &amp; Liabilities</t>
  </si>
  <si>
    <t>Shareholders Equity</t>
  </si>
  <si>
    <t>Cummulative Retained Earnings</t>
  </si>
  <si>
    <t>Non-current Liabilities</t>
  </si>
  <si>
    <t>Total Equity</t>
  </si>
  <si>
    <t>Vehicle</t>
  </si>
  <si>
    <t>Loan payable</t>
  </si>
  <si>
    <t>Total Non-current Assets</t>
  </si>
  <si>
    <t>Check</t>
  </si>
  <si>
    <t>Cashflow Statement</t>
  </si>
  <si>
    <t>Pofit/Loss After Tax</t>
  </si>
  <si>
    <t>Adjustments:</t>
  </si>
  <si>
    <t>Tax Expense</t>
  </si>
  <si>
    <t>Working Capital Adjustment:</t>
  </si>
  <si>
    <t>Taxation</t>
  </si>
  <si>
    <t>Net Cashflow from Operating Activities</t>
  </si>
  <si>
    <t>Investing Activities:</t>
  </si>
  <si>
    <t>Operating Activities:</t>
  </si>
  <si>
    <t>Net Cashflow Investing Activities</t>
  </si>
  <si>
    <t>Financing Activities:</t>
  </si>
  <si>
    <t>Proceeds from debt issue</t>
  </si>
  <si>
    <t>Dividend payment</t>
  </si>
  <si>
    <t>Net Cashflow from Financing Activities</t>
  </si>
  <si>
    <t>Net Changes in Cash &amp; Cash Equivalent</t>
  </si>
  <si>
    <t>Opening Balance</t>
  </si>
  <si>
    <t>Closing Balance</t>
  </si>
  <si>
    <t>Loan repayment</t>
  </si>
  <si>
    <t>Landed Property</t>
  </si>
  <si>
    <t>Sold units</t>
  </si>
  <si>
    <t>Retained contract sum</t>
  </si>
  <si>
    <t>Landed property</t>
  </si>
  <si>
    <t>Total value</t>
  </si>
  <si>
    <t>Total income</t>
  </si>
  <si>
    <t>Marketing (% of total income)</t>
  </si>
  <si>
    <t>Maintenance &amp; repairs (% of total income)</t>
  </si>
  <si>
    <t>Property management ( % of total income)</t>
  </si>
  <si>
    <t>Maintenance &amp; repairs ( % of total income)</t>
  </si>
  <si>
    <t>Marketing ( % of total income)</t>
  </si>
  <si>
    <t>Interest expense</t>
  </si>
  <si>
    <t>Tax payable</t>
  </si>
  <si>
    <t>Rentention(Held till defect)</t>
  </si>
  <si>
    <t>Cost of sales(Landed property)</t>
  </si>
  <si>
    <t xml:space="preserve"> Valuation</t>
  </si>
  <si>
    <t>Free Cashflow to Firm</t>
  </si>
  <si>
    <t>(Unlevered free cashflow)</t>
  </si>
  <si>
    <t>Net income</t>
  </si>
  <si>
    <t>Add non-cash items:</t>
  </si>
  <si>
    <t>Less:</t>
  </si>
  <si>
    <t>CapEx</t>
  </si>
  <si>
    <t>FCFF</t>
  </si>
  <si>
    <t>Terminal Value</t>
  </si>
  <si>
    <t>YR5 FCFF*(1+G)</t>
  </si>
  <si>
    <t>WACC - G</t>
  </si>
  <si>
    <t>Total FCFF</t>
  </si>
  <si>
    <t>Discount Factor</t>
  </si>
  <si>
    <t>(1+WACC)^-n</t>
  </si>
  <si>
    <t>Present Value</t>
  </si>
  <si>
    <t>Enterprise Value</t>
  </si>
  <si>
    <t>Ke - G</t>
  </si>
  <si>
    <t>Total FCFE</t>
  </si>
  <si>
    <t>(1+Ke)^-n</t>
  </si>
  <si>
    <t>Net Debt</t>
  </si>
  <si>
    <t>(End Bal - Open Bal)</t>
  </si>
  <si>
    <t>WACC</t>
  </si>
  <si>
    <t>Growth rate</t>
  </si>
  <si>
    <t>Weighted Average Cost of Capital (WACC)</t>
  </si>
  <si>
    <t>Value of Equity</t>
  </si>
  <si>
    <t>Value of Debt</t>
  </si>
  <si>
    <t>Total Value</t>
  </si>
  <si>
    <t>Tax rate</t>
  </si>
  <si>
    <t>CAPM</t>
  </si>
  <si>
    <t>Risk free rate</t>
  </si>
  <si>
    <t>Beta</t>
  </si>
  <si>
    <t>Market return</t>
  </si>
  <si>
    <t>https://www.ceicdata.com/en/indicator/ghana/long-term-interest-rate</t>
  </si>
  <si>
    <t>Long term growth rate</t>
  </si>
  <si>
    <t>(Levered free cashflow)</t>
  </si>
  <si>
    <t>Free Cashflow to Equity</t>
  </si>
  <si>
    <t>Financial Ratios</t>
  </si>
  <si>
    <t>Profitability</t>
  </si>
  <si>
    <t>GP Margin</t>
  </si>
  <si>
    <t>OP Margin</t>
  </si>
  <si>
    <t>NP Margin</t>
  </si>
  <si>
    <t>ROCE</t>
  </si>
  <si>
    <t>ROA</t>
  </si>
  <si>
    <t>Liquidity</t>
  </si>
  <si>
    <t>Current Ratio</t>
  </si>
  <si>
    <t>Quick (Acid Test) Ratio</t>
  </si>
  <si>
    <t>Cash Ratio</t>
  </si>
  <si>
    <t>Leverage</t>
  </si>
  <si>
    <t>Debt to Equity</t>
  </si>
  <si>
    <t>Equity Ratio</t>
  </si>
  <si>
    <t>Debt Ratio</t>
  </si>
  <si>
    <t>Interest Coverage</t>
  </si>
  <si>
    <t>Efficiency</t>
  </si>
  <si>
    <t>Working Capital</t>
  </si>
  <si>
    <t>Dataset</t>
  </si>
  <si>
    <t>COS</t>
  </si>
  <si>
    <t>Gross Profit</t>
  </si>
  <si>
    <t>Opex Items</t>
  </si>
  <si>
    <t>Operating Profit</t>
  </si>
  <si>
    <t>Net Profit</t>
  </si>
  <si>
    <t>Other Expenses</t>
  </si>
  <si>
    <t>Sum of Revenue</t>
  </si>
  <si>
    <t>Row Labels</t>
  </si>
  <si>
    <t>Grand Total</t>
  </si>
  <si>
    <t>Sum of COS</t>
  </si>
  <si>
    <t>Sum of Gross Profit</t>
  </si>
  <si>
    <t>Sum of Net Profit</t>
  </si>
  <si>
    <t>Column Labels</t>
  </si>
  <si>
    <t>Sum of OPEX</t>
  </si>
  <si>
    <t>Average of Revenue</t>
  </si>
  <si>
    <t>Average of Gross Profit</t>
  </si>
  <si>
    <t>Sum of GP Margin</t>
  </si>
  <si>
    <t>Sum of NP Margin</t>
  </si>
  <si>
    <t>Sum of ROCE</t>
  </si>
  <si>
    <t>Average of Net Profit</t>
  </si>
  <si>
    <t>Table of Content</t>
  </si>
  <si>
    <t>SN</t>
  </si>
  <si>
    <t>Details</t>
  </si>
  <si>
    <t>Summary</t>
  </si>
  <si>
    <t>Dashboard</t>
  </si>
  <si>
    <t>Valuation</t>
  </si>
  <si>
    <t>Data Page</t>
  </si>
  <si>
    <t>Company Name:</t>
  </si>
  <si>
    <t>Sector:</t>
  </si>
  <si>
    <t>Equity Investment</t>
  </si>
  <si>
    <t>Equity Valuation</t>
  </si>
  <si>
    <t>Operating Expenses</t>
  </si>
  <si>
    <t>Operating Income</t>
  </si>
  <si>
    <t>Profit before Tax</t>
  </si>
  <si>
    <t>Non-Current Assets</t>
  </si>
  <si>
    <t>Total Asset</t>
  </si>
  <si>
    <t>Non-Current Liabilities</t>
  </si>
  <si>
    <t>Total Equity &amp; Liabilities</t>
  </si>
  <si>
    <t>Cash Flow Statement</t>
  </si>
  <si>
    <t>Cash flow from operating activities</t>
  </si>
  <si>
    <t>Cash flow from investing activities</t>
  </si>
  <si>
    <t>Cash flow from financing activities</t>
  </si>
  <si>
    <t>Net cash flow</t>
  </si>
  <si>
    <t>Net cash flow to firm</t>
  </si>
  <si>
    <t>Gross Profit margin</t>
  </si>
  <si>
    <t>Operating profit margin</t>
  </si>
  <si>
    <t>Net profit margin</t>
  </si>
  <si>
    <t>Return on Asset</t>
  </si>
  <si>
    <t>Debt to Equity ratio</t>
  </si>
  <si>
    <t xml:space="preserve">Equity ratio </t>
  </si>
  <si>
    <t>Debt ratio</t>
  </si>
  <si>
    <t>Current ratio</t>
  </si>
  <si>
    <t>Quick ratio</t>
  </si>
  <si>
    <t>Cash ratio</t>
  </si>
  <si>
    <t>Ling Tao Holdings</t>
  </si>
  <si>
    <t>Real Estate</t>
  </si>
  <si>
    <t>Return on Capital Equity</t>
  </si>
  <si>
    <t>Tax Shield</t>
  </si>
  <si>
    <t>Interest Expense</t>
  </si>
  <si>
    <t>Tax Rate</t>
  </si>
  <si>
    <t>Tax Savings</t>
  </si>
  <si>
    <t>Add :</t>
  </si>
  <si>
    <t>Scenario</t>
  </si>
  <si>
    <t>Best case</t>
  </si>
  <si>
    <t>Base case</t>
  </si>
  <si>
    <t>Worst case</t>
  </si>
  <si>
    <t>Scenario:</t>
  </si>
  <si>
    <t>Back</t>
  </si>
  <si>
    <t>https://www.statista.com/statistics/447576/inflation-rate-in-ghana/</t>
  </si>
  <si>
    <t>Inflation</t>
  </si>
  <si>
    <t>Last Updated:</t>
  </si>
  <si>
    <t>https://markets.ft.com/data/equities/tearsheet/summary?s=NVMI:NSQ</t>
  </si>
  <si>
    <t>https://gse.com.gh/overview/</t>
  </si>
  <si>
    <t>https://gse.com.gh/</t>
  </si>
  <si>
    <t>As at 03/10/2025</t>
  </si>
  <si>
    <t>As at 31/12/2010</t>
  </si>
  <si>
    <t>https://www.reuters.com/world/africa/ghana-central-bank-delivers-record-rate-cut-inflation-cools-rapidly-2025-07-30/#:~:text=MORE%20CUTS%20EXPECTED,disinflation%20trend%2C%22%20Khan%20said.</t>
  </si>
  <si>
    <t>Ast at 30/07/2025</t>
  </si>
  <si>
    <t>https://www.worldeconomics.com/country-reviews/Ghana/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</si>
</sst>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quot;2025&quot;"/>
    <numFmt numFmtId="165" formatCode="&quot;2026&quot;"/>
    <numFmt numFmtId="166" formatCode="&quot;2027&quot;"/>
    <numFmt numFmtId="167" formatCode="&quot;2028&quot;"/>
    <numFmt numFmtId="168" formatCode="&quot;2029&quot;"/>
    <numFmt numFmtId="169" formatCode="&quot;2030&quot;"/>
    <numFmt numFmtId="170" formatCode="_(* #,##0_);_(* \(#,##0\);_(* &quot;-&quot;??_);_(@_)"/>
    <numFmt numFmtId="171" formatCode="0.0%"/>
    <numFmt numFmtId="172" formatCode="0\ &quot;years&quot;"/>
    <numFmt numFmtId="173" formatCode="0\ &quot;months&quot;"/>
    <numFmt numFmtId="174" formatCode="_(* #,##0.000_);_(* \(#,##0.000\);_(* &quot;-&quot;??_);_(@_)"/>
    <numFmt numFmtId="175" formatCode="0.0000"/>
    <numFmt numFmtId="176" formatCode="[$GHS]\ #,##0_);\([$GHS]\ #,##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
      <i/>
      <sz val="11"/>
      <color theme="1"/>
      <name val="Aptos Narrow"/>
      <family val="2"/>
      <scheme val="minor"/>
    </font>
    <font>
      <u/>
      <sz val="11"/>
      <color theme="1"/>
      <name val="Aptos Narrow"/>
      <family val="2"/>
      <scheme val="minor"/>
    </font>
    <font>
      <i/>
      <sz val="9"/>
      <color theme="1"/>
      <name val="Aptos Narrow"/>
      <family val="2"/>
      <scheme val="minor"/>
    </font>
    <font>
      <sz val="9"/>
      <color theme="1"/>
      <name val="Aptos Narrow"/>
      <family val="2"/>
      <scheme val="minor"/>
    </font>
    <font>
      <b/>
      <sz val="14"/>
      <color theme="0"/>
      <name val="Aptos Narrow"/>
      <family val="2"/>
      <scheme val="minor"/>
    </font>
    <font>
      <u/>
      <sz val="11"/>
      <color theme="10"/>
      <name val="Aptos Narrow"/>
      <family val="2"/>
      <scheme val="minor"/>
    </font>
    <font>
      <b/>
      <sz val="20"/>
      <color theme="1"/>
      <name val="Aptos Narrow"/>
      <family val="2"/>
      <scheme val="minor"/>
    </font>
    <font>
      <sz val="12"/>
      <color theme="1"/>
      <name val="Aptos Narrow"/>
      <family val="2"/>
      <scheme val="minor"/>
    </font>
    <font>
      <b/>
      <sz val="11"/>
      <name val="Aptos Narrow"/>
      <family val="2"/>
      <scheme val="minor"/>
    </font>
    <font>
      <i/>
      <sz val="11"/>
      <color theme="1"/>
      <name val="Aptos Narrow"/>
      <family val="2"/>
      <scheme val="minor"/>
    </font>
    <font>
      <sz val="11"/>
      <color theme="10"/>
      <name val="Aptos Narrow"/>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4" tint="0.59999389629810485"/>
        <bgColor indexed="64"/>
      </patternFill>
    </fill>
    <fill>
      <patternFill patternType="solid">
        <fgColor theme="2" tint="-0.499984740745262"/>
        <bgColor indexed="64"/>
      </patternFill>
    </fill>
    <fill>
      <patternFill patternType="solid">
        <fgColor theme="2" tint="-9.9978637043366805E-2"/>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right/>
      <top/>
      <bottom style="double">
        <color auto="1"/>
      </bottom>
      <diagonal/>
    </border>
    <border>
      <left/>
      <right/>
      <top/>
      <bottom style="thin">
        <color auto="1"/>
      </bottom>
      <diagonal/>
    </border>
    <border>
      <left style="thin">
        <color auto="1"/>
      </left>
      <right style="thin">
        <color auto="1"/>
      </right>
      <top style="thin">
        <color auto="1"/>
      </top>
      <bottom/>
      <diagonal/>
    </border>
    <border>
      <left/>
      <right/>
      <top style="thin">
        <color auto="1"/>
      </top>
      <bottom/>
      <diagonal/>
    </border>
    <border>
      <left/>
      <right/>
      <top style="thin">
        <color auto="1"/>
      </top>
      <bottom style="double">
        <color auto="1"/>
      </bottom>
      <diagonal/>
    </border>
    <border>
      <left/>
      <right/>
      <top style="medium">
        <color auto="1"/>
      </top>
      <bottom style="double">
        <color auto="1"/>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top style="medium">
        <color auto="1"/>
      </top>
      <bottom style="thick">
        <color auto="1"/>
      </bottom>
      <diagonal/>
    </border>
    <border>
      <left style="thin">
        <color indexed="64"/>
      </left>
      <right style="thin">
        <color indexed="64"/>
      </right>
      <top style="medium">
        <color indexed="64"/>
      </top>
      <bottom style="thin">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0" borderId="0" applyNumberFormat="0" applyFill="0" applyBorder="0" applyAlignment="0" applyProtection="0"/>
  </cellStyleXfs>
  <cellXfs count="108">
    <xf numFmtId="0" fontId="0" fillId="0" borderId="0" xfId="0"/>
    <xf numFmtId="9" fontId="0" fillId="0" borderId="0" xfId="2" applyFont="1"/>
    <xf numFmtId="0" fontId="3" fillId="0" borderId="0" xfId="0" applyFont="1"/>
    <xf numFmtId="0" fontId="6" fillId="0" borderId="0" xfId="0" applyFont="1"/>
    <xf numFmtId="170" fontId="0" fillId="0" borderId="0" xfId="1" applyNumberFormat="1" applyFont="1"/>
    <xf numFmtId="0" fontId="0" fillId="0" borderId="1" xfId="0" applyBorder="1"/>
    <xf numFmtId="170" fontId="0" fillId="0" borderId="1" xfId="1" applyNumberFormat="1" applyFont="1" applyBorder="1"/>
    <xf numFmtId="0" fontId="7" fillId="0" borderId="0" xfId="0" applyFont="1"/>
    <xf numFmtId="164" fontId="5" fillId="0" borderId="0" xfId="0" applyNumberFormat="1" applyFont="1"/>
    <xf numFmtId="165" fontId="5" fillId="0" borderId="0" xfId="0" applyNumberFormat="1" applyFont="1"/>
    <xf numFmtId="166" fontId="5" fillId="0" borderId="0" xfId="0" applyNumberFormat="1" applyFont="1"/>
    <xf numFmtId="167" fontId="5" fillId="0" borderId="0" xfId="0" applyNumberFormat="1" applyFont="1"/>
    <xf numFmtId="168" fontId="5" fillId="0" borderId="0" xfId="0" applyNumberFormat="1" applyFont="1"/>
    <xf numFmtId="169" fontId="5" fillId="0" borderId="0" xfId="0" applyNumberFormat="1" applyFont="1"/>
    <xf numFmtId="9" fontId="0" fillId="0" borderId="1" xfId="2" applyFont="1" applyBorder="1"/>
    <xf numFmtId="0" fontId="8" fillId="0" borderId="1" xfId="0" applyFont="1" applyBorder="1" applyAlignment="1">
      <alignment horizontal="center"/>
    </xf>
    <xf numFmtId="0" fontId="9" fillId="0" borderId="1" xfId="0" applyFont="1" applyBorder="1" applyAlignment="1">
      <alignment horizontal="center"/>
    </xf>
    <xf numFmtId="170" fontId="0" fillId="0" borderId="0" xfId="0" applyNumberFormat="1"/>
    <xf numFmtId="0" fontId="8" fillId="0" borderId="0" xfId="0" applyFont="1" applyAlignment="1">
      <alignment horizontal="center"/>
    </xf>
    <xf numFmtId="172" fontId="0" fillId="0" borderId="1" xfId="0" applyNumberFormat="1" applyBorder="1"/>
    <xf numFmtId="170" fontId="0" fillId="0" borderId="2" xfId="0" applyNumberFormat="1" applyBorder="1"/>
    <xf numFmtId="9" fontId="0" fillId="0" borderId="2" xfId="2" applyFont="1" applyBorder="1"/>
    <xf numFmtId="43" fontId="0" fillId="0" borderId="0" xfId="0" applyNumberFormat="1"/>
    <xf numFmtId="43" fontId="0" fillId="0" borderId="1" xfId="1" applyFont="1" applyBorder="1"/>
    <xf numFmtId="3" fontId="0" fillId="0" borderId="1" xfId="0" applyNumberFormat="1" applyBorder="1"/>
    <xf numFmtId="0" fontId="10" fillId="2" borderId="0" xfId="0" applyFont="1" applyFill="1" applyAlignment="1">
      <alignment horizontal="centerContinuous"/>
    </xf>
    <xf numFmtId="0" fontId="2" fillId="2" borderId="0" xfId="0" applyFont="1" applyFill="1" applyAlignment="1">
      <alignment horizontal="centerContinuous"/>
    </xf>
    <xf numFmtId="170" fontId="0" fillId="0" borderId="0" xfId="1" applyNumberFormat="1" applyFont="1" applyFill="1"/>
    <xf numFmtId="170" fontId="0" fillId="0" borderId="3" xfId="0" applyNumberFormat="1" applyBorder="1"/>
    <xf numFmtId="171" fontId="0" fillId="0" borderId="1" xfId="2" applyNumberFormat="1" applyFont="1" applyBorder="1"/>
    <xf numFmtId="0" fontId="5" fillId="0" borderId="0" xfId="0" applyFont="1" applyAlignment="1">
      <alignment horizontal="center"/>
    </xf>
    <xf numFmtId="172" fontId="0" fillId="0" borderId="0" xfId="0" applyNumberFormat="1"/>
    <xf numFmtId="170" fontId="0" fillId="0" borderId="5" xfId="1" applyNumberFormat="1" applyFont="1" applyBorder="1"/>
    <xf numFmtId="170" fontId="0" fillId="0" borderId="4" xfId="1" applyNumberFormat="1" applyFont="1" applyBorder="1"/>
    <xf numFmtId="170" fontId="0" fillId="0" borderId="6" xfId="1" applyNumberFormat="1" applyFont="1" applyBorder="1"/>
    <xf numFmtId="9" fontId="0" fillId="0" borderId="1" xfId="0" applyNumberFormat="1" applyBorder="1"/>
    <xf numFmtId="170" fontId="0" fillId="0" borderId="2" xfId="1" applyNumberFormat="1" applyFont="1" applyBorder="1"/>
    <xf numFmtId="40" fontId="0" fillId="0" borderId="0" xfId="0" applyNumberFormat="1"/>
    <xf numFmtId="38" fontId="0" fillId="0" borderId="0" xfId="0" applyNumberFormat="1"/>
    <xf numFmtId="38" fontId="0" fillId="0" borderId="7" xfId="0" applyNumberFormat="1" applyBorder="1"/>
    <xf numFmtId="170" fontId="0" fillId="0" borderId="7" xfId="0" applyNumberFormat="1" applyBorder="1"/>
    <xf numFmtId="170" fontId="0" fillId="0" borderId="1" xfId="0" applyNumberFormat="1" applyBorder="1"/>
    <xf numFmtId="173" fontId="0" fillId="0" borderId="0" xfId="0" applyNumberFormat="1"/>
    <xf numFmtId="170" fontId="0" fillId="0" borderId="5" xfId="0" applyNumberFormat="1" applyBorder="1"/>
    <xf numFmtId="9" fontId="0" fillId="0" borderId="0" xfId="0" applyNumberFormat="1"/>
    <xf numFmtId="0" fontId="3" fillId="0" borderId="1" xfId="0" applyFont="1" applyBorder="1"/>
    <xf numFmtId="165" fontId="0" fillId="0" borderId="1" xfId="0" applyNumberFormat="1" applyBorder="1"/>
    <xf numFmtId="38"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169" fontId="0" fillId="0" borderId="1" xfId="0" applyNumberFormat="1" applyBorder="1"/>
    <xf numFmtId="170" fontId="0" fillId="0" borderId="0" xfId="1" applyNumberFormat="1" applyFont="1" applyBorder="1"/>
    <xf numFmtId="170" fontId="0" fillId="0" borderId="11" xfId="1" applyNumberFormat="1" applyFont="1" applyBorder="1"/>
    <xf numFmtId="170" fontId="3" fillId="0" borderId="10" xfId="1" applyNumberFormat="1" applyFont="1" applyBorder="1"/>
    <xf numFmtId="170" fontId="3" fillId="0" borderId="2" xfId="1" applyNumberFormat="1" applyFont="1" applyBorder="1"/>
    <xf numFmtId="0" fontId="0" fillId="0" borderId="9" xfId="0" applyBorder="1"/>
    <xf numFmtId="170" fontId="3" fillId="0" borderId="2" xfId="0" applyNumberFormat="1" applyFont="1" applyBorder="1"/>
    <xf numFmtId="170" fontId="0" fillId="0" borderId="12" xfId="0" applyNumberFormat="1" applyBorder="1"/>
    <xf numFmtId="0" fontId="0" fillId="0" borderId="10" xfId="0" applyBorder="1"/>
    <xf numFmtId="170" fontId="3" fillId="0" borderId="10" xfId="0" applyNumberFormat="1" applyFont="1" applyBorder="1"/>
    <xf numFmtId="0" fontId="0" fillId="0" borderId="11" xfId="0" applyBorder="1"/>
    <xf numFmtId="38" fontId="0" fillId="0" borderId="5" xfId="0" applyNumberFormat="1" applyBorder="1"/>
    <xf numFmtId="174" fontId="0" fillId="0" borderId="0" xfId="0" applyNumberFormat="1"/>
    <xf numFmtId="170" fontId="8" fillId="0" borderId="0" xfId="0" applyNumberFormat="1" applyFont="1" applyAlignment="1">
      <alignment horizontal="center"/>
    </xf>
    <xf numFmtId="0" fontId="5" fillId="0" borderId="0" xfId="0" applyFont="1"/>
    <xf numFmtId="170" fontId="0" fillId="0" borderId="8" xfId="1" applyNumberFormat="1" applyFont="1" applyBorder="1"/>
    <xf numFmtId="0" fontId="8" fillId="0" borderId="0" xfId="0" applyFont="1"/>
    <xf numFmtId="10" fontId="0" fillId="0" borderId="0" xfId="2" applyNumberFormat="1" applyFont="1"/>
    <xf numFmtId="10" fontId="0" fillId="0" borderId="1" xfId="2" applyNumberFormat="1" applyFont="1" applyBorder="1"/>
    <xf numFmtId="10" fontId="0" fillId="0" borderId="1" xfId="0" applyNumberFormat="1" applyBorder="1"/>
    <xf numFmtId="170" fontId="0" fillId="0" borderId="13" xfId="0" applyNumberFormat="1" applyBorder="1"/>
    <xf numFmtId="175" fontId="0" fillId="0" borderId="1" xfId="0" applyNumberFormat="1" applyBorder="1"/>
    <xf numFmtId="170" fontId="0" fillId="0" borderId="11" xfId="0" applyNumberFormat="1" applyBorder="1"/>
    <xf numFmtId="2" fontId="0" fillId="0" borderId="1" xfId="0" applyNumberFormat="1" applyBorder="1"/>
    <xf numFmtId="0" fontId="0" fillId="0" borderId="0" xfId="0" pivotButton="1"/>
    <xf numFmtId="0" fontId="0" fillId="0" borderId="0" xfId="0" applyAlignment="1">
      <alignment horizontal="left"/>
    </xf>
    <xf numFmtId="0" fontId="0" fillId="3" borderId="0" xfId="0" applyFill="1"/>
    <xf numFmtId="176" fontId="0" fillId="0" borderId="0" xfId="0" applyNumberFormat="1"/>
    <xf numFmtId="0" fontId="3" fillId="0" borderId="9" xfId="0" applyFont="1" applyBorder="1" applyAlignment="1">
      <alignment horizontal="center"/>
    </xf>
    <xf numFmtId="0" fontId="0" fillId="0" borderId="0" xfId="0" applyAlignment="1">
      <alignment horizontal="center"/>
    </xf>
    <xf numFmtId="0" fontId="11" fillId="0" borderId="0" xfId="3"/>
    <xf numFmtId="0" fontId="0" fillId="0" borderId="14" xfId="0" applyBorder="1"/>
    <xf numFmtId="0" fontId="0" fillId="0" borderId="15" xfId="0" applyBorder="1"/>
    <xf numFmtId="0" fontId="0" fillId="0" borderId="16" xfId="0" applyBorder="1"/>
    <xf numFmtId="0" fontId="0" fillId="0" borderId="17" xfId="0" applyBorder="1"/>
    <xf numFmtId="0" fontId="12" fillId="0" borderId="0" xfId="0" applyFont="1"/>
    <xf numFmtId="0" fontId="13" fillId="0" borderId="0" xfId="0" applyFont="1"/>
    <xf numFmtId="0" fontId="3" fillId="0" borderId="9" xfId="0" applyFont="1" applyBorder="1"/>
    <xf numFmtId="43" fontId="0" fillId="0" borderId="1" xfId="0" applyNumberFormat="1" applyBorder="1"/>
    <xf numFmtId="0" fontId="0" fillId="0" borderId="18" xfId="0" applyBorder="1"/>
    <xf numFmtId="0" fontId="0" fillId="0" borderId="19" xfId="0" applyBorder="1"/>
    <xf numFmtId="9" fontId="0" fillId="0" borderId="0" xfId="2" applyFont="1" applyBorder="1"/>
    <xf numFmtId="170" fontId="3" fillId="0" borderId="0" xfId="0" applyNumberFormat="1" applyFont="1"/>
    <xf numFmtId="0" fontId="10" fillId="4" borderId="0" xfId="0" applyFont="1" applyFill="1" applyAlignment="1">
      <alignment horizontal="centerContinuous"/>
    </xf>
    <xf numFmtId="0" fontId="4" fillId="4" borderId="0" xfId="0" applyFont="1" applyFill="1" applyAlignment="1">
      <alignment horizontal="centerContinuous"/>
    </xf>
    <xf numFmtId="0" fontId="2" fillId="4" borderId="0" xfId="0" applyFont="1" applyFill="1" applyAlignment="1">
      <alignment horizontal="centerContinuous"/>
    </xf>
    <xf numFmtId="0" fontId="5" fillId="5" borderId="0" xfId="0" applyFont="1" applyFill="1"/>
    <xf numFmtId="0" fontId="0" fillId="5" borderId="0" xfId="0" applyFill="1"/>
    <xf numFmtId="170" fontId="14" fillId="5" borderId="12" xfId="1" applyNumberFormat="1" applyFont="1" applyFill="1" applyBorder="1"/>
    <xf numFmtId="170" fontId="14" fillId="5" borderId="12" xfId="0" applyNumberFormat="1" applyFont="1" applyFill="1" applyBorder="1"/>
    <xf numFmtId="170" fontId="14" fillId="5" borderId="2" xfId="1" applyNumberFormat="1" applyFont="1" applyFill="1" applyBorder="1"/>
    <xf numFmtId="170" fontId="0" fillId="5" borderId="12" xfId="0" applyNumberFormat="1" applyFill="1" applyBorder="1"/>
    <xf numFmtId="174" fontId="0" fillId="0" borderId="0" xfId="1" applyNumberFormat="1" applyFont="1"/>
    <xf numFmtId="0" fontId="11" fillId="0" borderId="0" xfId="3" applyAlignment="1">
      <alignment horizontal="center"/>
    </xf>
    <xf numFmtId="0" fontId="15" fillId="0" borderId="0" xfId="0" applyFont="1"/>
    <xf numFmtId="14" fontId="0" fillId="0" borderId="0" xfId="0" applyNumberFormat="1"/>
    <xf numFmtId="0" fontId="16" fillId="0" borderId="0" xfId="3" applyFont="1"/>
  </cellXfs>
  <cellStyles count="4">
    <cellStyle name="Comma" xfId="1" builtinId="3"/>
    <cellStyle name="Hyperlink" xfId="3" builtinId="8"/>
    <cellStyle name="Normal" xfId="0" builtinId="0"/>
    <cellStyle name="Percent" xfId="2" builtinId="5"/>
  </cellStyles>
  <dxfs count="11">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70" formatCode="_(* #,##0_);_(* \(#,##0\);_(* &quot;-&quot;??_);_(@_)"/>
    </dxf>
    <dxf>
      <font>
        <b val="0"/>
        <i val="0"/>
        <strike val="0"/>
        <condense val="0"/>
        <extend val="0"/>
        <outline val="0"/>
        <shadow val="0"/>
        <u val="none"/>
        <vertAlign val="baseline"/>
        <sz val="11"/>
        <color theme="1"/>
        <name val="Aptos Narrow"/>
        <family val="2"/>
        <scheme val="minor"/>
      </font>
      <numFmt numFmtId="170" formatCode="_(* #,##0_);_(* \(#,##0\);_(* &quot;-&quot;??_);_(@_)"/>
    </dxf>
    <dxf>
      <numFmt numFmtId="0" formatCode="General"/>
    </dxf>
    <dxf>
      <font>
        <b/>
        <color theme="1"/>
      </font>
      <border>
        <bottom style="thin">
          <color theme="0" tint="-0.34998626667073579"/>
        </bottom>
        <vertical/>
        <horizontal/>
      </border>
    </dxf>
    <dxf>
      <font>
        <color theme="1"/>
      </font>
      <fill>
        <patternFill>
          <bgColor theme="0" tint="-0.14996795556505021"/>
        </patternFill>
      </fill>
      <border diagonalUp="0" diagonalDown="0">
        <left/>
        <right/>
        <top/>
        <bottom/>
        <vertical/>
        <horizontal/>
      </border>
    </dxf>
  </dxfs>
  <tableStyles count="1" defaultTableStyle="TableStyleMedium2" defaultPivotStyle="PivotStyleLight16">
    <tableStyle name="SlicerStyleOther1 2" pivot="0" table="0" count="10" xr9:uid="{806E7948-BD59-4BFD-8C8B-0BC735EE7656}">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[LingTao Holdings.xlsx]Pivot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Operating</a:t>
            </a:r>
            <a:r>
              <a:rPr lang="en-US" b="1" baseline="0">
                <a:latin typeface="Bodoni MT" panose="02070603080606020203" pitchFamily="18" charset="0"/>
              </a:rPr>
              <a:t> Performance</a:t>
            </a:r>
            <a:endParaRPr lang="en-US" b="1">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7756265504219"/>
          <c:y val="6.8085106382978725E-2"/>
          <c:w val="0.8021471256242596"/>
          <c:h val="0.67663327190484168"/>
        </c:manualLayout>
      </c:layout>
      <c:barChart>
        <c:barDir val="col"/>
        <c:grouping val="clustered"/>
        <c:varyColors val="0"/>
        <c:ser>
          <c:idx val="0"/>
          <c:order val="0"/>
          <c:tx>
            <c:strRef>
              <c:f>'Pivot Tables'!$C$3</c:f>
              <c:strCache>
                <c:ptCount val="1"/>
                <c:pt idx="0">
                  <c:v>Sum of Revenue</c:v>
                </c:pt>
              </c:strCache>
            </c:strRef>
          </c:tx>
          <c:spPr>
            <a:solidFill>
              <a:schemeClr val="accent1"/>
            </a:solidFill>
            <a:ln>
              <a:noFill/>
            </a:ln>
            <a:effectLst/>
          </c:spPr>
          <c:invertIfNegative val="0"/>
          <c:cat>
            <c:strRef>
              <c:f>'Pivot Tables'!$B$4:$B$9</c:f>
              <c:strCache>
                <c:ptCount val="5"/>
                <c:pt idx="0">
                  <c:v>2026</c:v>
                </c:pt>
                <c:pt idx="1">
                  <c:v>2027</c:v>
                </c:pt>
                <c:pt idx="2">
                  <c:v>2028</c:v>
                </c:pt>
                <c:pt idx="3">
                  <c:v>2029</c:v>
                </c:pt>
                <c:pt idx="4">
                  <c:v>2030</c:v>
                </c:pt>
              </c:strCache>
            </c:strRef>
          </c:cat>
          <c:val>
            <c:numRef>
              <c:f>'Pivot Tables'!$C$4:$C$9</c:f>
              <c:numCache>
                <c:formatCode>_(* #,##0_);_(* \(#,##0\);_(* "-"??_);_(@_)</c:formatCode>
                <c:ptCount val="5"/>
                <c:pt idx="0">
                  <c:v>6327360</c:v>
                </c:pt>
                <c:pt idx="1">
                  <c:v>6503243.1359999999</c:v>
                </c:pt>
                <c:pt idx="2">
                  <c:v>6591808.7039999999</c:v>
                </c:pt>
                <c:pt idx="3">
                  <c:v>6680374.2719999999</c:v>
                </c:pt>
                <c:pt idx="4">
                  <c:v>6768939.8399999999</c:v>
                </c:pt>
              </c:numCache>
            </c:numRef>
          </c:val>
          <c:extLst>
            <c:ext xmlns:c16="http://schemas.microsoft.com/office/drawing/2014/chart" uri="{C3380CC4-5D6E-409C-BE32-E72D297353CC}">
              <c16:uniqueId val="{00000000-1C7C-4D2F-BE53-6B526F99B7E6}"/>
            </c:ext>
          </c:extLst>
        </c:ser>
        <c:ser>
          <c:idx val="1"/>
          <c:order val="1"/>
          <c:tx>
            <c:strRef>
              <c:f>'Pivot Tables'!$D$3</c:f>
              <c:strCache>
                <c:ptCount val="1"/>
                <c:pt idx="0">
                  <c:v>Sum of COS</c:v>
                </c:pt>
              </c:strCache>
            </c:strRef>
          </c:tx>
          <c:spPr>
            <a:solidFill>
              <a:schemeClr val="accent2"/>
            </a:solidFill>
            <a:ln>
              <a:noFill/>
            </a:ln>
            <a:effectLst/>
          </c:spPr>
          <c:invertIfNegative val="0"/>
          <c:cat>
            <c:strRef>
              <c:f>'Pivot Tables'!$B$4:$B$9</c:f>
              <c:strCache>
                <c:ptCount val="5"/>
                <c:pt idx="0">
                  <c:v>2026</c:v>
                </c:pt>
                <c:pt idx="1">
                  <c:v>2027</c:v>
                </c:pt>
                <c:pt idx="2">
                  <c:v>2028</c:v>
                </c:pt>
                <c:pt idx="3">
                  <c:v>2029</c:v>
                </c:pt>
                <c:pt idx="4">
                  <c:v>2030</c:v>
                </c:pt>
              </c:strCache>
            </c:strRef>
          </c:cat>
          <c:val>
            <c:numRef>
              <c:f>'Pivot Tables'!$D$4:$D$9</c:f>
              <c:numCache>
                <c:formatCode>_(* #,##0_);_(* \(#,##0\);_(* "-"??_);_(@_)</c:formatCode>
                <c:ptCount val="5"/>
                <c:pt idx="0">
                  <c:v>3096942.656</c:v>
                </c:pt>
                <c:pt idx="1">
                  <c:v>3030787.0373726794</c:v>
                </c:pt>
                <c:pt idx="2">
                  <c:v>2921286.0140885292</c:v>
                </c:pt>
                <c:pt idx="3">
                  <c:v>2784409.7349833413</c:v>
                </c:pt>
                <c:pt idx="4">
                  <c:v>2613314.3861018564</c:v>
                </c:pt>
              </c:numCache>
            </c:numRef>
          </c:val>
          <c:extLst>
            <c:ext xmlns:c16="http://schemas.microsoft.com/office/drawing/2014/chart" uri="{C3380CC4-5D6E-409C-BE32-E72D297353CC}">
              <c16:uniqueId val="{00000001-1C7C-4D2F-BE53-6B526F99B7E6}"/>
            </c:ext>
          </c:extLst>
        </c:ser>
        <c:ser>
          <c:idx val="2"/>
          <c:order val="2"/>
          <c:tx>
            <c:strRef>
              <c:f>'Pivot Tables'!$E$3</c:f>
              <c:strCache>
                <c:ptCount val="1"/>
                <c:pt idx="0">
                  <c:v>Sum of Gross Profit</c:v>
                </c:pt>
              </c:strCache>
            </c:strRef>
          </c:tx>
          <c:spPr>
            <a:solidFill>
              <a:schemeClr val="accent3"/>
            </a:solidFill>
            <a:ln>
              <a:noFill/>
            </a:ln>
            <a:effectLst/>
          </c:spPr>
          <c:invertIfNegative val="0"/>
          <c:cat>
            <c:strRef>
              <c:f>'Pivot Tables'!$B$4:$B$9</c:f>
              <c:strCache>
                <c:ptCount val="5"/>
                <c:pt idx="0">
                  <c:v>2026</c:v>
                </c:pt>
                <c:pt idx="1">
                  <c:v>2027</c:v>
                </c:pt>
                <c:pt idx="2">
                  <c:v>2028</c:v>
                </c:pt>
                <c:pt idx="3">
                  <c:v>2029</c:v>
                </c:pt>
                <c:pt idx="4">
                  <c:v>2030</c:v>
                </c:pt>
              </c:strCache>
            </c:strRef>
          </c:cat>
          <c:val>
            <c:numRef>
              <c:f>'Pivot Tables'!$E$4:$E$9</c:f>
              <c:numCache>
                <c:formatCode>_(* #,##0_);_(* \(#,##0\);_(* "-"??_);_(@_)</c:formatCode>
                <c:ptCount val="5"/>
                <c:pt idx="0">
                  <c:v>3230417.344</c:v>
                </c:pt>
                <c:pt idx="1">
                  <c:v>3472456.0986273205</c:v>
                </c:pt>
                <c:pt idx="2">
                  <c:v>3670522.6899114707</c:v>
                </c:pt>
                <c:pt idx="3">
                  <c:v>3895964.5370166586</c:v>
                </c:pt>
                <c:pt idx="4">
                  <c:v>4155625.4538981435</c:v>
                </c:pt>
              </c:numCache>
            </c:numRef>
          </c:val>
          <c:extLst>
            <c:ext xmlns:c16="http://schemas.microsoft.com/office/drawing/2014/chart" uri="{C3380CC4-5D6E-409C-BE32-E72D297353CC}">
              <c16:uniqueId val="{00000002-1C7C-4D2F-BE53-6B526F99B7E6}"/>
            </c:ext>
          </c:extLst>
        </c:ser>
        <c:ser>
          <c:idx val="3"/>
          <c:order val="3"/>
          <c:tx>
            <c:strRef>
              <c:f>'Pivot Tables'!$F$3</c:f>
              <c:strCache>
                <c:ptCount val="1"/>
                <c:pt idx="0">
                  <c:v>Sum of Net Profit</c:v>
                </c:pt>
              </c:strCache>
            </c:strRef>
          </c:tx>
          <c:spPr>
            <a:solidFill>
              <a:schemeClr val="accent4"/>
            </a:solidFill>
            <a:ln>
              <a:noFill/>
            </a:ln>
            <a:effectLst/>
          </c:spPr>
          <c:invertIfNegative val="0"/>
          <c:cat>
            <c:strRef>
              <c:f>'Pivot Tables'!$B$4:$B$9</c:f>
              <c:strCache>
                <c:ptCount val="5"/>
                <c:pt idx="0">
                  <c:v>2026</c:v>
                </c:pt>
                <c:pt idx="1">
                  <c:v>2027</c:v>
                </c:pt>
                <c:pt idx="2">
                  <c:v>2028</c:v>
                </c:pt>
                <c:pt idx="3">
                  <c:v>2029</c:v>
                </c:pt>
                <c:pt idx="4">
                  <c:v>2030</c:v>
                </c:pt>
              </c:strCache>
            </c:strRef>
          </c:cat>
          <c:val>
            <c:numRef>
              <c:f>'Pivot Tables'!$F$4:$F$9</c:f>
              <c:numCache>
                <c:formatCode>_(* #,##0_);_(* \(#,##0\);_(* "-"??_);_(@_)</c:formatCode>
                <c:ptCount val="5"/>
                <c:pt idx="0">
                  <c:v>1184769.7164000003</c:v>
                </c:pt>
                <c:pt idx="1">
                  <c:v>1813395.758646911</c:v>
                </c:pt>
                <c:pt idx="2">
                  <c:v>1887148.1409019702</c:v>
                </c:pt>
                <c:pt idx="3">
                  <c:v>2008463.8452872154</c:v>
                </c:pt>
                <c:pt idx="4">
                  <c:v>2118762.6652951925</c:v>
                </c:pt>
              </c:numCache>
            </c:numRef>
          </c:val>
          <c:extLst>
            <c:ext xmlns:c16="http://schemas.microsoft.com/office/drawing/2014/chart" uri="{C3380CC4-5D6E-409C-BE32-E72D297353CC}">
              <c16:uniqueId val="{00000003-1C7C-4D2F-BE53-6B526F99B7E6}"/>
            </c:ext>
          </c:extLst>
        </c:ser>
        <c:dLbls>
          <c:showLegendKey val="0"/>
          <c:showVal val="0"/>
          <c:showCatName val="0"/>
          <c:showSerName val="0"/>
          <c:showPercent val="0"/>
          <c:showBubbleSize val="0"/>
        </c:dLbls>
        <c:gapWidth val="219"/>
        <c:overlap val="-27"/>
        <c:axId val="654603679"/>
        <c:axId val="654604159"/>
      </c:barChart>
      <c:catAx>
        <c:axId val="65460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4604159"/>
        <c:crosses val="autoZero"/>
        <c:auto val="1"/>
        <c:lblAlgn val="ctr"/>
        <c:lblOffset val="100"/>
        <c:noMultiLvlLbl val="0"/>
      </c:catAx>
      <c:valAx>
        <c:axId val="65460415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4603679"/>
        <c:crosses val="autoZero"/>
        <c:crossBetween val="between"/>
        <c:dispUnits>
          <c:builtInUnit val="millions"/>
          <c:dispUnitsLbl>
            <c:layout>
              <c:manualLayout>
                <c:xMode val="edge"/>
                <c:yMode val="edge"/>
                <c:x val="3.5859820700896494E-2"/>
                <c:y val="0.33991628190319945"/>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2.7357590276277811E-2"/>
          <c:y val="0.84538873066398623"/>
          <c:w val="0.94195953685340439"/>
          <c:h val="0.120568716144524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[LingTao Holdings.xlsx]Pivot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OPEX</a:t>
            </a:r>
            <a:r>
              <a:rPr lang="en-US" b="1" baseline="0">
                <a:latin typeface="Bodoni MT" panose="02070603080606020203" pitchFamily="18" charset="0"/>
              </a:rPr>
              <a:t> Items</a:t>
            </a:r>
            <a:endParaRPr lang="en-US" b="1">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Tables'!$C$20:$C$21</c:f>
              <c:strCache>
                <c:ptCount val="1"/>
                <c:pt idx="0">
                  <c:v>Depreciation</c:v>
                </c:pt>
              </c:strCache>
            </c:strRef>
          </c:tx>
          <c:spPr>
            <a:solidFill>
              <a:schemeClr val="accent1"/>
            </a:solidFill>
            <a:ln>
              <a:noFill/>
            </a:ln>
            <a:effectLst/>
          </c:spPr>
          <c:invertIfNegative val="0"/>
          <c:cat>
            <c:strRef>
              <c:f>'Pivot Tables'!$B$22:$B$27</c:f>
              <c:strCache>
                <c:ptCount val="5"/>
                <c:pt idx="0">
                  <c:v>2026</c:v>
                </c:pt>
                <c:pt idx="1">
                  <c:v>2027</c:v>
                </c:pt>
                <c:pt idx="2">
                  <c:v>2028</c:v>
                </c:pt>
                <c:pt idx="3">
                  <c:v>2029</c:v>
                </c:pt>
                <c:pt idx="4">
                  <c:v>2030</c:v>
                </c:pt>
              </c:strCache>
            </c:strRef>
          </c:cat>
          <c:val>
            <c:numRef>
              <c:f>'Pivot Tables'!$C$22:$C$27</c:f>
              <c:numCache>
                <c:formatCode>_(* #,##0_);_(* \(#,##0\);_(* "-"??_);_(@_)</c:formatCode>
                <c:ptCount val="5"/>
                <c:pt idx="0">
                  <c:v>106441.1888</c:v>
                </c:pt>
                <c:pt idx="1">
                  <c:v>169205.91077810567</c:v>
                </c:pt>
                <c:pt idx="2">
                  <c:v>252308.1242288434</c:v>
                </c:pt>
                <c:pt idx="3">
                  <c:v>332769.70202037127</c:v>
                </c:pt>
                <c:pt idx="4">
                  <c:v>435180.48523788672</c:v>
                </c:pt>
              </c:numCache>
            </c:numRef>
          </c:val>
          <c:extLst>
            <c:ext xmlns:c16="http://schemas.microsoft.com/office/drawing/2014/chart" uri="{C3380CC4-5D6E-409C-BE32-E72D297353CC}">
              <c16:uniqueId val="{00000000-093F-452D-8FFB-5AD9F802F1C8}"/>
            </c:ext>
          </c:extLst>
        </c:ser>
        <c:ser>
          <c:idx val="1"/>
          <c:order val="1"/>
          <c:tx>
            <c:strRef>
              <c:f>'Pivot Tables'!$D$20:$D$21</c:f>
              <c:strCache>
                <c:ptCount val="1"/>
                <c:pt idx="0">
                  <c:v>Other Expenses</c:v>
                </c:pt>
              </c:strCache>
            </c:strRef>
          </c:tx>
          <c:spPr>
            <a:solidFill>
              <a:schemeClr val="accent2"/>
            </a:solidFill>
            <a:ln>
              <a:noFill/>
            </a:ln>
            <a:effectLst/>
          </c:spPr>
          <c:invertIfNegative val="0"/>
          <c:cat>
            <c:strRef>
              <c:f>'Pivot Tables'!$B$22:$B$27</c:f>
              <c:strCache>
                <c:ptCount val="5"/>
                <c:pt idx="0">
                  <c:v>2026</c:v>
                </c:pt>
                <c:pt idx="1">
                  <c:v>2027</c:v>
                </c:pt>
                <c:pt idx="2">
                  <c:v>2028</c:v>
                </c:pt>
                <c:pt idx="3">
                  <c:v>2029</c:v>
                </c:pt>
                <c:pt idx="4">
                  <c:v>2030</c:v>
                </c:pt>
              </c:strCache>
            </c:strRef>
          </c:cat>
          <c:val>
            <c:numRef>
              <c:f>'Pivot Tables'!$D$22:$D$27</c:f>
              <c:numCache>
                <c:formatCode>_(* #,##0_);_(* \(#,##0\);_(* "-"??_);_(@_)</c:formatCode>
                <c:ptCount val="5"/>
                <c:pt idx="0">
                  <c:v>1544283.2</c:v>
                </c:pt>
                <c:pt idx="1">
                  <c:v>885389.17631999997</c:v>
                </c:pt>
                <c:pt idx="2">
                  <c:v>902017.04448000004</c:v>
                </c:pt>
                <c:pt idx="3">
                  <c:v>885243.04127999989</c:v>
                </c:pt>
                <c:pt idx="4">
                  <c:v>895428.08160000003</c:v>
                </c:pt>
              </c:numCache>
            </c:numRef>
          </c:val>
          <c:extLst>
            <c:ext xmlns:c16="http://schemas.microsoft.com/office/drawing/2014/chart" uri="{C3380CC4-5D6E-409C-BE32-E72D297353CC}">
              <c16:uniqueId val="{00000001-093F-452D-8FFB-5AD9F802F1C8}"/>
            </c:ext>
          </c:extLst>
        </c:ser>
        <c:dLbls>
          <c:showLegendKey val="0"/>
          <c:showVal val="0"/>
          <c:showCatName val="0"/>
          <c:showSerName val="0"/>
          <c:showPercent val="0"/>
          <c:showBubbleSize val="0"/>
        </c:dLbls>
        <c:gapWidth val="219"/>
        <c:overlap val="100"/>
        <c:axId val="654561919"/>
        <c:axId val="654566719"/>
      </c:barChart>
      <c:catAx>
        <c:axId val="65456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4566719"/>
        <c:crosses val="autoZero"/>
        <c:auto val="1"/>
        <c:lblAlgn val="ctr"/>
        <c:lblOffset val="100"/>
        <c:noMultiLvlLbl val="0"/>
      </c:catAx>
      <c:valAx>
        <c:axId val="654566719"/>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4561919"/>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[LingTao Holdings.xlsx]Pivot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OPEX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spPr>
            <a:solidFill>
              <a:srgbClr val="0E2841">
                <a:lumMod val="75000"/>
                <a:lumOff val="2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25400">
            <a:solidFill>
              <a:schemeClr val="lt1"/>
            </a:solidFill>
          </a:ln>
          <a:effectLst/>
          <a:sp3d contourW="25400">
            <a:contourClr>
              <a:schemeClr val="lt1"/>
            </a:contourClr>
          </a:sp3d>
        </c:spPr>
        <c:dLbl>
          <c:idx val="0"/>
          <c:spPr>
            <a:solidFill>
              <a:srgbClr val="E9713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spPr>
            <a:solidFill>
              <a:srgbClr val="0E2841">
                <a:lumMod val="75000"/>
                <a:lumOff val="2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spPr>
            <a:solidFill>
              <a:srgbClr val="E9713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spPr>
            <a:solidFill>
              <a:srgbClr val="0E2841">
                <a:lumMod val="75000"/>
                <a:lumOff val="2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spPr>
            <a:solidFill>
              <a:srgbClr val="E9713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111111111111111"/>
          <c:y val="0.16152796285079754"/>
          <c:w val="0.63265415284150162"/>
          <c:h val="0.67515337505888684"/>
        </c:manualLayout>
      </c:layout>
      <c:pie3DChart>
        <c:varyColors val="1"/>
        <c:ser>
          <c:idx val="0"/>
          <c:order val="0"/>
          <c:tx>
            <c:strRef>
              <c:f>'Pivot Tables'!$C$29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B19-481A-89C6-942F8E1491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B19-481A-89C6-942F8E14916D}"/>
              </c:ext>
            </c:extLst>
          </c:dPt>
          <c:dLbls>
            <c:dLbl>
              <c:idx val="0"/>
              <c:spPr>
                <a:solidFill>
                  <a:srgbClr val="0E2841">
                    <a:lumMod val="75000"/>
                    <a:lumOff val="2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B19-481A-89C6-942F8E14916D}"/>
                </c:ext>
              </c:extLst>
            </c:dLbl>
            <c:dLbl>
              <c:idx val="1"/>
              <c:spPr>
                <a:solidFill>
                  <a:srgbClr val="E9713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B19-481A-89C6-942F8E14916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Tables'!$B$30:$B$32</c:f>
              <c:strCache>
                <c:ptCount val="2"/>
                <c:pt idx="0">
                  <c:v>Depreciation</c:v>
                </c:pt>
                <c:pt idx="1">
                  <c:v>Other Expenses</c:v>
                </c:pt>
              </c:strCache>
            </c:strRef>
          </c:cat>
          <c:val>
            <c:numRef>
              <c:f>'Pivot Tables'!$C$30:$C$32</c:f>
              <c:numCache>
                <c:formatCode>_(* #,##0_);_(* \(#,##0\);_(* "-"??_);_(@_)</c:formatCode>
                <c:ptCount val="2"/>
                <c:pt idx="0">
                  <c:v>1295905.4110652071</c:v>
                </c:pt>
                <c:pt idx="1">
                  <c:v>5112360.5436799992</c:v>
                </c:pt>
              </c:numCache>
            </c:numRef>
          </c:val>
          <c:extLst>
            <c:ext xmlns:c16="http://schemas.microsoft.com/office/drawing/2014/chart" uri="{C3380CC4-5D6E-409C-BE32-E72D297353CC}">
              <c16:uniqueId val="{00000004-8B19-481A-89C6-942F8E14916D}"/>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[LingTao Holdings.xlsx]Pivot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Financial</a:t>
            </a:r>
            <a:r>
              <a:rPr lang="en-US" b="1" baseline="0">
                <a:latin typeface="Bodoni MT" panose="02070603080606020203" pitchFamily="18" charset="0"/>
              </a:rPr>
              <a:t> Ratios</a:t>
            </a:r>
            <a:endParaRPr lang="en-US" b="1">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3757333091555388E-2"/>
              <c:y val="-3.68635512049079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757333091555388E-2"/>
              <c:y val="-3.6863551204907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63432795041599E-2"/>
              <c:y val="-4.1783598499346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511322809276578E-2"/>
              <c:y val="-3.6863551204907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757333091555388E-2"/>
              <c:y val="-5.16236930882246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3757333091555346E-2"/>
              <c:y val="-4.1783598499346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3757333091555388E-2"/>
              <c:y val="-5.16236930882246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3757333091555388E-2"/>
              <c:y val="-5.16236930882245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3757333091555388E-2"/>
              <c:y val="-4.6703645793785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Tables'!$C$35</c:f>
              <c:strCache>
                <c:ptCount val="1"/>
                <c:pt idx="0">
                  <c:v>Sum of GP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F1E2-4199-BECD-ED282E7F0BD6}"/>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F1E2-4199-BECD-ED282E7F0BD6}"/>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F1E2-4199-BECD-ED282E7F0BD6}"/>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F1E2-4199-BECD-ED282E7F0BD6}"/>
              </c:ext>
            </c:extLst>
          </c:dPt>
          <c:dLbls>
            <c:dLbl>
              <c:idx val="0"/>
              <c:layout>
                <c:manualLayout>
                  <c:x val="-6.3757333091555388E-2"/>
                  <c:y val="-3.6863551204907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E2-4199-BECD-ED282E7F0BD6}"/>
                </c:ext>
              </c:extLst>
            </c:dLbl>
            <c:dLbl>
              <c:idx val="1"/>
              <c:layout>
                <c:manualLayout>
                  <c:x val="-6.763432795041599E-2"/>
                  <c:y val="-4.1783598499346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E2-4199-BECD-ED282E7F0BD6}"/>
                </c:ext>
              </c:extLst>
            </c:dLbl>
            <c:dLbl>
              <c:idx val="2"/>
              <c:layout>
                <c:manualLayout>
                  <c:x val="-7.1511322809276578E-2"/>
                  <c:y val="-3.6863551204907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E2-4199-BECD-ED282E7F0BD6}"/>
                </c:ext>
              </c:extLst>
            </c:dLbl>
            <c:dLbl>
              <c:idx val="3"/>
              <c:layout>
                <c:manualLayout>
                  <c:x val="-6.3757333091555388E-2"/>
                  <c:y val="-5.16236930882246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E2-4199-BECD-ED282E7F0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Tables'!$B$36:$B$41</c:f>
              <c:strCache>
                <c:ptCount val="5"/>
                <c:pt idx="0">
                  <c:v>2026</c:v>
                </c:pt>
                <c:pt idx="1">
                  <c:v>2027</c:v>
                </c:pt>
                <c:pt idx="2">
                  <c:v>2028</c:v>
                </c:pt>
                <c:pt idx="3">
                  <c:v>2029</c:v>
                </c:pt>
                <c:pt idx="4">
                  <c:v>2030</c:v>
                </c:pt>
              </c:strCache>
            </c:strRef>
          </c:cat>
          <c:val>
            <c:numRef>
              <c:f>'Pivot Tables'!$C$36:$C$41</c:f>
              <c:numCache>
                <c:formatCode>0%</c:formatCode>
                <c:ptCount val="5"/>
                <c:pt idx="0">
                  <c:v>0.5105474232539321</c:v>
                </c:pt>
                <c:pt idx="1">
                  <c:v>0.53395760023254346</c:v>
                </c:pt>
                <c:pt idx="2">
                  <c:v>0.55683088735329156</c:v>
                </c:pt>
                <c:pt idx="3">
                  <c:v>0.58319554839107357</c:v>
                </c:pt>
                <c:pt idx="4">
                  <c:v>0.61392560018647524</c:v>
                </c:pt>
              </c:numCache>
            </c:numRef>
          </c:val>
          <c:smooth val="0"/>
          <c:extLst>
            <c:ext xmlns:c16="http://schemas.microsoft.com/office/drawing/2014/chart" uri="{C3380CC4-5D6E-409C-BE32-E72D297353CC}">
              <c16:uniqueId val="{00000000-A097-456D-8914-36F1C722DD46}"/>
            </c:ext>
          </c:extLst>
        </c:ser>
        <c:ser>
          <c:idx val="1"/>
          <c:order val="1"/>
          <c:tx>
            <c:strRef>
              <c:f>'Pivot Tables'!$D$35</c:f>
              <c:strCache>
                <c:ptCount val="1"/>
                <c:pt idx="0">
                  <c:v>Sum of NP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0-F1E2-4199-BECD-ED282E7F0BD6}"/>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5-F1E2-4199-BECD-ED282E7F0BD6}"/>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F1E2-4199-BECD-ED282E7F0BD6}"/>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7-F1E2-4199-BECD-ED282E7F0BD6}"/>
              </c:ext>
            </c:extLst>
          </c:dPt>
          <c:dPt>
            <c:idx val="4"/>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8-F1E2-4199-BECD-ED282E7F0BD6}"/>
              </c:ext>
            </c:extLst>
          </c:dPt>
          <c:dLbls>
            <c:dLbl>
              <c:idx val="0"/>
              <c:layout>
                <c:manualLayout>
                  <c:x val="-6.3757333091555388E-2"/>
                  <c:y val="-3.68635512049079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E2-4199-BECD-ED282E7F0BD6}"/>
                </c:ext>
              </c:extLst>
            </c:dLbl>
            <c:dLbl>
              <c:idx val="1"/>
              <c:layout>
                <c:manualLayout>
                  <c:x val="-6.3757333091555346E-2"/>
                  <c:y val="-4.1783598499346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E2-4199-BECD-ED282E7F0BD6}"/>
                </c:ext>
              </c:extLst>
            </c:dLbl>
            <c:dLbl>
              <c:idx val="2"/>
              <c:layout>
                <c:manualLayout>
                  <c:x val="-6.3757333091555388E-2"/>
                  <c:y val="-5.16236930882246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1E2-4199-BECD-ED282E7F0BD6}"/>
                </c:ext>
              </c:extLst>
            </c:dLbl>
            <c:dLbl>
              <c:idx val="3"/>
              <c:layout>
                <c:manualLayout>
                  <c:x val="-6.3757333091555388E-2"/>
                  <c:y val="-5.16236930882245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1E2-4199-BECD-ED282E7F0BD6}"/>
                </c:ext>
              </c:extLst>
            </c:dLbl>
            <c:dLbl>
              <c:idx val="4"/>
              <c:layout>
                <c:manualLayout>
                  <c:x val="-6.3757333091555388E-2"/>
                  <c:y val="-4.67036457937857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1E2-4199-BECD-ED282E7F0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Tables'!$B$36:$B$41</c:f>
              <c:strCache>
                <c:ptCount val="5"/>
                <c:pt idx="0">
                  <c:v>2026</c:v>
                </c:pt>
                <c:pt idx="1">
                  <c:v>2027</c:v>
                </c:pt>
                <c:pt idx="2">
                  <c:v>2028</c:v>
                </c:pt>
                <c:pt idx="3">
                  <c:v>2029</c:v>
                </c:pt>
                <c:pt idx="4">
                  <c:v>2030</c:v>
                </c:pt>
              </c:strCache>
            </c:strRef>
          </c:cat>
          <c:val>
            <c:numRef>
              <c:f>'Pivot Tables'!$D$36:$D$41</c:f>
              <c:numCache>
                <c:formatCode>0%</c:formatCode>
                <c:ptCount val="5"/>
                <c:pt idx="0">
                  <c:v>0.18724550466545292</c:v>
                </c:pt>
                <c:pt idx="1">
                  <c:v>0.27884483491144546</c:v>
                </c:pt>
                <c:pt idx="2">
                  <c:v>0.28628684866974718</c:v>
                </c:pt>
                <c:pt idx="3">
                  <c:v>0.30065139519284939</c:v>
                </c:pt>
                <c:pt idx="4">
                  <c:v>0.31301248280782362</c:v>
                </c:pt>
              </c:numCache>
            </c:numRef>
          </c:val>
          <c:smooth val="0"/>
          <c:extLst>
            <c:ext xmlns:c16="http://schemas.microsoft.com/office/drawing/2014/chart" uri="{C3380CC4-5D6E-409C-BE32-E72D297353CC}">
              <c16:uniqueId val="{00000001-A097-456D-8914-36F1C722DD46}"/>
            </c:ext>
          </c:extLst>
        </c:ser>
        <c:ser>
          <c:idx val="2"/>
          <c:order val="2"/>
          <c:tx>
            <c:strRef>
              <c:f>'Pivot Tables'!$E$35</c:f>
              <c:strCache>
                <c:ptCount val="1"/>
                <c:pt idx="0">
                  <c:v>Sum of ROCE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Tables'!$B$36:$B$41</c:f>
              <c:strCache>
                <c:ptCount val="5"/>
                <c:pt idx="0">
                  <c:v>2026</c:v>
                </c:pt>
                <c:pt idx="1">
                  <c:v>2027</c:v>
                </c:pt>
                <c:pt idx="2">
                  <c:v>2028</c:v>
                </c:pt>
                <c:pt idx="3">
                  <c:v>2029</c:v>
                </c:pt>
                <c:pt idx="4">
                  <c:v>2030</c:v>
                </c:pt>
              </c:strCache>
            </c:strRef>
          </c:cat>
          <c:val>
            <c:numRef>
              <c:f>'Pivot Tables'!$E$36:$E$41</c:f>
              <c:numCache>
                <c:formatCode>0%</c:formatCode>
                <c:ptCount val="5"/>
                <c:pt idx="0">
                  <c:v>0.17755144505047557</c:v>
                </c:pt>
                <c:pt idx="1">
                  <c:v>0.24876106632626385</c:v>
                </c:pt>
                <c:pt idx="2">
                  <c:v>0.24663432128694288</c:v>
                </c:pt>
                <c:pt idx="3">
                  <c:v>0.27603338510204506</c:v>
                </c:pt>
                <c:pt idx="4">
                  <c:v>0.25870266458779423</c:v>
                </c:pt>
              </c:numCache>
            </c:numRef>
          </c:val>
          <c:smooth val="0"/>
          <c:extLst>
            <c:ext xmlns:c16="http://schemas.microsoft.com/office/drawing/2014/chart" uri="{C3380CC4-5D6E-409C-BE32-E72D297353CC}">
              <c16:uniqueId val="{00000002-A097-456D-8914-36F1C722DD46}"/>
            </c:ext>
          </c:extLst>
        </c:ser>
        <c:dLbls>
          <c:dLblPos val="t"/>
          <c:showLegendKey val="0"/>
          <c:showVal val="1"/>
          <c:showCatName val="0"/>
          <c:showSerName val="0"/>
          <c:showPercent val="0"/>
          <c:showBubbleSize val="0"/>
        </c:dLbls>
        <c:marker val="1"/>
        <c:smooth val="0"/>
        <c:axId val="1120004047"/>
        <c:axId val="1119995887"/>
      </c:lineChart>
      <c:catAx>
        <c:axId val="112000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9995887"/>
        <c:crosses val="autoZero"/>
        <c:auto val="1"/>
        <c:lblAlgn val="ctr"/>
        <c:lblOffset val="100"/>
        <c:noMultiLvlLbl val="0"/>
      </c:catAx>
      <c:valAx>
        <c:axId val="1119995887"/>
        <c:scaling>
          <c:orientation val="minMax"/>
          <c:max val="1.4"/>
        </c:scaling>
        <c:delete val="1"/>
        <c:axPos val="l"/>
        <c:numFmt formatCode="0%" sourceLinked="1"/>
        <c:majorTickMark val="none"/>
        <c:minorTickMark val="none"/>
        <c:tickLblPos val="nextTo"/>
        <c:crossAx val="1120004047"/>
        <c:crosses val="autoZero"/>
        <c:crossBetween val="between"/>
      </c:valAx>
      <c:spPr>
        <a:noFill/>
        <a:ln>
          <a:noFill/>
        </a:ln>
        <a:effectLst/>
      </c:spPr>
    </c:plotArea>
    <c:legend>
      <c:legendPos val="b"/>
      <c:layout>
        <c:manualLayout>
          <c:xMode val="edge"/>
          <c:yMode val="edge"/>
          <c:x val="2.8345876867120097E-2"/>
          <c:y val="0.853562734089652"/>
          <c:w val="0.94704307462834048"/>
          <c:h val="0.12109975872688321"/>
        </c:manualLayout>
      </c:layout>
      <c:overlay val="0"/>
      <c:spPr>
        <a:noFill/>
        <a:ln>
          <a:noFill/>
        </a:ln>
        <a:effectLst/>
      </c:spPr>
      <c:txPr>
        <a:bodyPr rot="0" spcFirstLastPara="1" vertOverflow="ellipsis" vert="horz" wrap="square" anchor="ctr" anchorCtr="1"/>
        <a:lstStyle/>
        <a:p>
          <a:pPr>
            <a:defRPr sz="85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3" dropStyle="combo" dx="22" fmlaLink="Assumptions!$C$1" fmlaRange="Assumptions!$D$20:$D$22" sel="2" val="0"/>
</file>

<file path=xl/ctrlProps/ctrlProp2.xml><?xml version="1.0" encoding="utf-8"?>
<formControlPr xmlns="http://schemas.microsoft.com/office/spreadsheetml/2009/9/main" objectType="Drop" dropLines="3" dropStyle="combo" dx="22" fmlaLink="Assumptions!$C$1" fmlaRange="Assumptions!$D$20:$D$22" sel="2" val="0"/>
</file>

<file path=xl/ctrlProps/ctrlProp3.xml><?xml version="1.0" encoding="utf-8"?>
<formControlPr xmlns="http://schemas.microsoft.com/office/spreadsheetml/2009/9/main" objectType="Drop" dropLines="3" dropStyle="combo" dx="22" fmlaLink="Assumptions!$C$1" fmlaRange="Assumptions!$D$20:$D$22" sel="2" val="0"/>
</file>

<file path=xl/ctrlProps/ctrlProp4.xml><?xml version="1.0" encoding="utf-8"?>
<formControlPr xmlns="http://schemas.microsoft.com/office/spreadsheetml/2009/9/main" objectType="Drop" dropLines="3" dropStyle="combo" dx="22" fmlaLink="Assumptions!$C$1" fmlaRange="Assumptions!$D$20:$D$22" sel="2" val="0"/>
</file>

<file path=xl/ctrlProps/ctrlProp5.xml><?xml version="1.0" encoding="utf-8"?>
<formControlPr xmlns="http://schemas.microsoft.com/office/spreadsheetml/2009/9/main" objectType="Drop" dropLines="3" dropStyle="combo" dx="22" fmlaLink="Assumptions!$C$1" fmlaRange="Assumptions!$D$20:$D$22" sel="2" val="0"/>
</file>

<file path=xl/ctrlProps/ctrlProp6.xml><?xml version="1.0" encoding="utf-8"?>
<formControlPr xmlns="http://schemas.microsoft.com/office/spreadsheetml/2009/9/main" objectType="Drop" dropLines="3" dropStyle="combo" dx="22" fmlaLink="Assumptions!$C$1" fmlaRange="Assumptions!$D$20:$D$22" sel="2" val="0"/>
</file>

<file path=xl/ctrlProps/ctrlProp7.xml><?xml version="1.0" encoding="utf-8"?>
<formControlPr xmlns="http://schemas.microsoft.com/office/spreadsheetml/2009/9/main" objectType="Drop" dropLines="3" dropStyle="combo" dx="22" fmlaLink="Assumptions!$C$1" fmlaRange="Assumptions!$D$20:$D$22" sel="2" val="0"/>
</file>

<file path=xl/ctrlProps/ctrlProp8.xml><?xml version="1.0" encoding="utf-8"?>
<formControlPr xmlns="http://schemas.microsoft.com/office/spreadsheetml/2009/9/main" objectType="Drop" dropLines="3" dropStyle="combo" dx="22" fmlaLink="Assumptions!$C$1" fmlaRange="Assumptions!$D$20:$D$22" sel="2" val="0"/>
</file>

<file path=xl/ctrlProps/ctrlProp9.xml><?xml version="1.0" encoding="utf-8"?>
<formControlPr xmlns="http://schemas.microsoft.com/office/spreadsheetml/2009/9/main" objectType="Drop" dropLines="3" dropStyle="combo" dx="22" fmlaLink="Assumptions!$C$1" fmlaRange="Assumptions!$D$20:$D$22" sel="2" val="0"/>
</file>

<file path=xl/ctrlProps/ctrlProp10.xml><?xml version="1.0" encoding="utf-8"?>
<formControlPr xmlns="http://schemas.microsoft.com/office/spreadsheetml/2009/9/main" objectType="Drop" dropLines="3" dropStyle="combo" dx="22" fmlaLink="Assumptions!$C$1" fmlaRange="Assumptions!$D$20:$D$22" sel="2"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Table of Content'!A1"/><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200024</xdr:colOff>
      <xdr:row>0</xdr:row>
      <xdr:rowOff>104775</xdr:rowOff>
    </xdr:from>
    <xdr:to>
      <xdr:col>14</xdr:col>
      <xdr:colOff>165099</xdr:colOff>
      <xdr:row>49</xdr:row>
      <xdr:rowOff>117474</xdr:rowOff>
    </xdr:to>
    <xdr:sp macro="" textlink="">
      <xdr:nvSpPr>
        <xdr:cNvPr id="3" name="Rectangle: Rounded Corners 2">
          <a:extLst>
            <a:ext uri="{FF2B5EF4-FFF2-40B4-BE49-F238E27FC236}">
              <a16:creationId xmlns:a16="http://schemas.microsoft.com/office/drawing/2014/main" id="{0BFC074C-79F8-DF1B-CAEC-3FC58BED5BD8}"/>
            </a:ext>
          </a:extLst>
        </xdr:cNvPr>
        <xdr:cNvSpPr/>
      </xdr:nvSpPr>
      <xdr:spPr>
        <a:xfrm>
          <a:off x="200024" y="104775"/>
          <a:ext cx="8232775" cy="9347199"/>
        </a:xfrm>
        <a:prstGeom prst="roundRect">
          <a:avLst>
            <a:gd name="adj" fmla="val 698"/>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209552</xdr:colOff>
      <xdr:row>2</xdr:row>
      <xdr:rowOff>161925</xdr:rowOff>
    </xdr:from>
    <xdr:to>
      <xdr:col>14</xdr:col>
      <xdr:colOff>152400</xdr:colOff>
      <xdr:row>49</xdr:row>
      <xdr:rowOff>114300</xdr:rowOff>
    </xdr:to>
    <xdr:pic>
      <xdr:nvPicPr>
        <xdr:cNvPr id="2" name="Picture 1">
          <a:extLst>
            <a:ext uri="{FF2B5EF4-FFF2-40B4-BE49-F238E27FC236}">
              <a16:creationId xmlns:a16="http://schemas.microsoft.com/office/drawing/2014/main" id="{85590DE3-65B8-5AB5-0E81-ABA513FA8949}"/>
            </a:ext>
          </a:extLst>
        </xdr:cNvPr>
        <xdr:cNvPicPr>
          <a:picLocks noChangeAspect="1"/>
        </xdr:cNvPicPr>
      </xdr:nvPicPr>
      <xdr:blipFill>
        <a:blip xmlns:r="http://schemas.openxmlformats.org/officeDocument/2006/relationships" r:embed="rId1"/>
        <a:stretch>
          <a:fillRect/>
        </a:stretch>
      </xdr:blipFill>
      <xdr:spPr>
        <a:xfrm>
          <a:off x="209552" y="542925"/>
          <a:ext cx="8210548" cy="8905875"/>
        </a:xfrm>
        <a:prstGeom prst="rect">
          <a:avLst/>
        </a:prstGeom>
      </xdr:spPr>
    </xdr:pic>
    <xdr:clientData/>
  </xdr:twoCellAnchor>
  <xdr:twoCellAnchor>
    <xdr:from>
      <xdr:col>0</xdr:col>
      <xdr:colOff>228600</xdr:colOff>
      <xdr:row>0</xdr:row>
      <xdr:rowOff>142875</xdr:rowOff>
    </xdr:from>
    <xdr:to>
      <xdr:col>6</xdr:col>
      <xdr:colOff>400049</xdr:colOff>
      <xdr:row>2</xdr:row>
      <xdr:rowOff>123825</xdr:rowOff>
    </xdr:to>
    <xdr:sp macro="" textlink="">
      <xdr:nvSpPr>
        <xdr:cNvPr id="4" name="TextBox 3">
          <a:extLst>
            <a:ext uri="{FF2B5EF4-FFF2-40B4-BE49-F238E27FC236}">
              <a16:creationId xmlns:a16="http://schemas.microsoft.com/office/drawing/2014/main" id="{F99627E7-09E2-5B25-2798-3269CAA2E89E}"/>
            </a:ext>
          </a:extLst>
        </xdr:cNvPr>
        <xdr:cNvSpPr txBox="1"/>
      </xdr:nvSpPr>
      <xdr:spPr>
        <a:xfrm>
          <a:off x="228600" y="142875"/>
          <a:ext cx="371474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Bodoni MT" panose="02070603080606020203" pitchFamily="18" charset="0"/>
            </a:rPr>
            <a:t>FIVE YEAR FINANCIAL MODEL</a:t>
          </a:r>
        </a:p>
      </xdr:txBody>
    </xdr:sp>
    <xdr:clientData/>
  </xdr:twoCellAnchor>
  <xdr:twoCellAnchor>
    <xdr:from>
      <xdr:col>12</xdr:col>
      <xdr:colOff>371475</xdr:colOff>
      <xdr:row>0</xdr:row>
      <xdr:rowOff>133350</xdr:rowOff>
    </xdr:from>
    <xdr:to>
      <xdr:col>14</xdr:col>
      <xdr:colOff>44450</xdr:colOff>
      <xdr:row>2</xdr:row>
      <xdr:rowOff>114300</xdr:rowOff>
    </xdr:to>
    <xdr:sp macro="" textlink="">
      <xdr:nvSpPr>
        <xdr:cNvPr id="5" name="TextBox 4">
          <a:extLst>
            <a:ext uri="{FF2B5EF4-FFF2-40B4-BE49-F238E27FC236}">
              <a16:creationId xmlns:a16="http://schemas.microsoft.com/office/drawing/2014/main" id="{0A33EF78-4387-E4D7-285D-DFF56E0330E0}"/>
            </a:ext>
          </a:extLst>
        </xdr:cNvPr>
        <xdr:cNvSpPr txBox="1"/>
      </xdr:nvSpPr>
      <xdr:spPr>
        <a:xfrm>
          <a:off x="7458075" y="133350"/>
          <a:ext cx="8540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Bodoni MT" panose="02070603080606020203" pitchFamily="18" charset="0"/>
            </a:rPr>
            <a:t> 2025</a:t>
          </a:r>
        </a:p>
      </xdr:txBody>
    </xdr:sp>
    <xdr:clientData/>
  </xdr:twoCellAnchor>
  <xdr:twoCellAnchor>
    <xdr:from>
      <xdr:col>0</xdr:col>
      <xdr:colOff>222249</xdr:colOff>
      <xdr:row>47</xdr:row>
      <xdr:rowOff>152401</xdr:rowOff>
    </xdr:from>
    <xdr:to>
      <xdr:col>14</xdr:col>
      <xdr:colOff>149224</xdr:colOff>
      <xdr:row>49</xdr:row>
      <xdr:rowOff>104775</xdr:rowOff>
    </xdr:to>
    <xdr:sp macro="" textlink="">
      <xdr:nvSpPr>
        <xdr:cNvPr id="6" name="Rectangle: Rounded Corners 5">
          <a:extLst>
            <a:ext uri="{FF2B5EF4-FFF2-40B4-BE49-F238E27FC236}">
              <a16:creationId xmlns:a16="http://schemas.microsoft.com/office/drawing/2014/main" id="{27DC7FB9-AE34-3B47-5048-E4F545946487}"/>
            </a:ext>
          </a:extLst>
        </xdr:cNvPr>
        <xdr:cNvSpPr/>
      </xdr:nvSpPr>
      <xdr:spPr>
        <a:xfrm>
          <a:off x="222249" y="9105901"/>
          <a:ext cx="8194675" cy="333374"/>
        </a:xfrm>
        <a:prstGeom prst="roundRect">
          <a:avLst>
            <a:gd name="adj" fmla="val 698"/>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0</xdr:row>
          <xdr:rowOff>9525</xdr:rowOff>
        </xdr:from>
        <xdr:to>
          <xdr:col>3</xdr:col>
          <xdr:colOff>219075</xdr:colOff>
          <xdr:row>1</xdr:row>
          <xdr:rowOff>66675</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0</xdr:row>
          <xdr:rowOff>0</xdr:rowOff>
        </xdr:from>
        <xdr:to>
          <xdr:col>3</xdr:col>
          <xdr:colOff>504825</xdr:colOff>
          <xdr:row>1</xdr:row>
          <xdr:rowOff>28575</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76200</xdr:colOff>
      <xdr:row>0</xdr:row>
      <xdr:rowOff>19050</xdr:rowOff>
    </xdr:from>
    <xdr:to>
      <xdr:col>15</xdr:col>
      <xdr:colOff>190500</xdr:colOff>
      <xdr:row>31</xdr:row>
      <xdr:rowOff>9525</xdr:rowOff>
    </xdr:to>
    <xdr:sp macro="" textlink="">
      <xdr:nvSpPr>
        <xdr:cNvPr id="16" name="Rectangle: Rounded Corners 15">
          <a:extLst>
            <a:ext uri="{FF2B5EF4-FFF2-40B4-BE49-F238E27FC236}">
              <a16:creationId xmlns:a16="http://schemas.microsoft.com/office/drawing/2014/main" id="{8CD1C131-28CE-B214-C94D-E485F799D5C3}"/>
            </a:ext>
          </a:extLst>
        </xdr:cNvPr>
        <xdr:cNvSpPr/>
      </xdr:nvSpPr>
      <xdr:spPr>
        <a:xfrm>
          <a:off x="76200" y="19050"/>
          <a:ext cx="9258300" cy="5895975"/>
        </a:xfrm>
        <a:prstGeom prst="roundRect">
          <a:avLst>
            <a:gd name="adj" fmla="val 3904"/>
          </a:avLst>
        </a:prstGeom>
        <a:solidFill>
          <a:schemeClr val="bg1">
            <a:lumMod val="85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100012</xdr:colOff>
      <xdr:row>4</xdr:row>
      <xdr:rowOff>47625</xdr:rowOff>
    </xdr:from>
    <xdr:to>
      <xdr:col>9</xdr:col>
      <xdr:colOff>261937</xdr:colOff>
      <xdr:row>16</xdr:row>
      <xdr:rowOff>0</xdr:rowOff>
    </xdr:to>
    <xdr:graphicFrame macro="">
      <xdr:nvGraphicFramePr>
        <xdr:cNvPr id="2" name="Chart 1">
          <a:extLst>
            <a:ext uri="{FF2B5EF4-FFF2-40B4-BE49-F238E27FC236}">
              <a16:creationId xmlns:a16="http://schemas.microsoft.com/office/drawing/2014/main" id="{F4B879DC-454E-4562-AB5A-40298C754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323851</xdr:colOff>
      <xdr:row>4</xdr:row>
      <xdr:rowOff>47625</xdr:rowOff>
    </xdr:from>
    <xdr:to>
      <xdr:col>15</xdr:col>
      <xdr:colOff>52389</xdr:colOff>
      <xdr:row>16</xdr:row>
      <xdr:rowOff>0</xdr:rowOff>
    </xdr:to>
    <xdr:graphicFrame macro="">
      <xdr:nvGraphicFramePr>
        <xdr:cNvPr id="3" name="Chart 2">
          <a:extLst>
            <a:ext uri="{FF2B5EF4-FFF2-40B4-BE49-F238E27FC236}">
              <a16:creationId xmlns:a16="http://schemas.microsoft.com/office/drawing/2014/main" id="{342D8CCB-D061-43A7-B1CD-E979687C5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104774</xdr:colOff>
      <xdr:row>16</xdr:row>
      <xdr:rowOff>47625</xdr:rowOff>
    </xdr:from>
    <xdr:to>
      <xdr:col>9</xdr:col>
      <xdr:colOff>238125</xdr:colOff>
      <xdr:row>29</xdr:row>
      <xdr:rowOff>161924</xdr:rowOff>
    </xdr:to>
    <xdr:graphicFrame macro="">
      <xdr:nvGraphicFramePr>
        <xdr:cNvPr id="4" name="Chart 3">
          <a:extLst>
            <a:ext uri="{FF2B5EF4-FFF2-40B4-BE49-F238E27FC236}">
              <a16:creationId xmlns:a16="http://schemas.microsoft.com/office/drawing/2014/main" id="{8A9B12A7-FC68-4E28-A6B6-01E063100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323851</xdr:colOff>
      <xdr:row>16</xdr:row>
      <xdr:rowOff>57150</xdr:rowOff>
    </xdr:from>
    <xdr:to>
      <xdr:col>15</xdr:col>
      <xdr:colOff>66675</xdr:colOff>
      <xdr:row>29</xdr:row>
      <xdr:rowOff>161926</xdr:rowOff>
    </xdr:to>
    <xdr:graphicFrame macro="">
      <xdr:nvGraphicFramePr>
        <xdr:cNvPr id="5" name="Chart 4">
          <a:extLst>
            <a:ext uri="{FF2B5EF4-FFF2-40B4-BE49-F238E27FC236}">
              <a16:creationId xmlns:a16="http://schemas.microsoft.com/office/drawing/2014/main" id="{509556E6-D7CE-42EE-9CA4-C98F9C5B4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104774</xdr:colOff>
      <xdr:row>0</xdr:row>
      <xdr:rowOff>142875</xdr:rowOff>
    </xdr:from>
    <xdr:to>
      <xdr:col>6</xdr:col>
      <xdr:colOff>190499</xdr:colOff>
      <xdr:row>4</xdr:row>
      <xdr:rowOff>19050</xdr:rowOff>
    </xdr:to>
    <xdr:sp macro="" textlink="'Pivot Tables'!H17">
      <xdr:nvSpPr>
        <xdr:cNvPr id="6" name="TextBox 5">
          <a:extLst>
            <a:ext uri="{FF2B5EF4-FFF2-40B4-BE49-F238E27FC236}">
              <a16:creationId xmlns:a16="http://schemas.microsoft.com/office/drawing/2014/main" id="{5756DE82-33AE-BF1D-EA21-2F006D3D3C3F}"/>
            </a:ext>
          </a:extLst>
        </xdr:cNvPr>
        <xdr:cNvSpPr txBox="1"/>
      </xdr:nvSpPr>
      <xdr:spPr>
        <a:xfrm>
          <a:off x="1933574" y="142875"/>
          <a:ext cx="1914525" cy="6381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u="none" strike="noStrike">
            <a:solidFill>
              <a:srgbClr val="000000"/>
            </a:solidFill>
            <a:latin typeface="Aptos Narrow"/>
          </a:endParaRPr>
        </a:p>
        <a:p>
          <a:endParaRPr lang="en-US" sz="1100" b="0" i="0" u="none" strike="noStrike">
            <a:solidFill>
              <a:srgbClr val="000000"/>
            </a:solidFill>
            <a:latin typeface="Aptos Narrow"/>
          </a:endParaRPr>
        </a:p>
        <a:p>
          <a:pPr algn="ctr"/>
          <a:fld id="{0211A5ED-8CB9-452C-94F4-372BE34C9597}" type="TxLink">
            <a:rPr lang="en-US" sz="1200" b="1" i="0" u="none" strike="noStrike">
              <a:solidFill>
                <a:srgbClr val="000000"/>
              </a:solidFill>
              <a:latin typeface="Bodoni MT" panose="02070603080606020203" pitchFamily="18" charset="0"/>
            </a:rPr>
            <a:pPr algn="ctr"/>
            <a:t>GHS 6,574,345 </a:t>
          </a:fld>
          <a:endParaRPr lang="en-US" sz="1200" b="1">
            <a:latin typeface="Bodoni MT" panose="02070603080606020203" pitchFamily="18" charset="0"/>
          </a:endParaRPr>
        </a:p>
      </xdr:txBody>
    </xdr:sp>
    <xdr:clientData/>
  </xdr:twoCellAnchor>
  <xdr:twoCellAnchor>
    <xdr:from>
      <xdr:col>6</xdr:col>
      <xdr:colOff>247649</xdr:colOff>
      <xdr:row>0</xdr:row>
      <xdr:rowOff>142875</xdr:rowOff>
    </xdr:from>
    <xdr:to>
      <xdr:col>9</xdr:col>
      <xdr:colOff>257174</xdr:colOff>
      <xdr:row>4</xdr:row>
      <xdr:rowOff>19050</xdr:rowOff>
    </xdr:to>
    <xdr:sp macro="" textlink="'Pivot Tables'!I17">
      <xdr:nvSpPr>
        <xdr:cNvPr id="7" name="TextBox 6">
          <a:extLst>
            <a:ext uri="{FF2B5EF4-FFF2-40B4-BE49-F238E27FC236}">
              <a16:creationId xmlns:a16="http://schemas.microsoft.com/office/drawing/2014/main" id="{EA04E831-8F17-8CC5-57EF-5E2C479D52C2}"/>
            </a:ext>
          </a:extLst>
        </xdr:cNvPr>
        <xdr:cNvSpPr txBox="1"/>
      </xdr:nvSpPr>
      <xdr:spPr>
        <a:xfrm>
          <a:off x="3905249" y="142875"/>
          <a:ext cx="1838325" cy="6381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1100" b="0" i="0" u="none" strike="noStrike">
            <a:solidFill>
              <a:srgbClr val="000000"/>
            </a:solidFill>
            <a:latin typeface="Aptos Narrow"/>
            <a:ea typeface="+mn-ea"/>
            <a:cs typeface="+mn-cs"/>
          </a:endParaRPr>
        </a:p>
        <a:p>
          <a:pPr marL="0" indent="0"/>
          <a:endParaRPr lang="en-US" sz="1100" b="0" i="0" u="none" strike="noStrike">
            <a:solidFill>
              <a:srgbClr val="000000"/>
            </a:solidFill>
            <a:latin typeface="Aptos Narrow"/>
            <a:ea typeface="+mn-ea"/>
            <a:cs typeface="+mn-cs"/>
          </a:endParaRPr>
        </a:p>
        <a:p>
          <a:pPr marL="0" indent="0" algn="ctr"/>
          <a:fld id="{EC111FB5-B99E-4BDD-AB6F-3239FD3B07AC}" type="TxLink">
            <a:rPr lang="en-US" sz="1200" b="1" i="0" u="none" strike="noStrike">
              <a:solidFill>
                <a:srgbClr val="000000"/>
              </a:solidFill>
              <a:latin typeface="Bodoni MT" panose="02070603080606020203" pitchFamily="18" charset="0"/>
              <a:ea typeface="+mn-ea"/>
              <a:cs typeface="+mn-cs"/>
            </a:rPr>
            <a:pPr marL="0" indent="0" algn="ctr"/>
            <a:t>GHS 3,684,997 </a:t>
          </a:fld>
          <a:endParaRPr lang="en-US" sz="1200" b="1" i="0" u="none" strike="noStrike">
            <a:solidFill>
              <a:srgbClr val="000000"/>
            </a:solidFill>
            <a:latin typeface="Bodoni MT" panose="02070603080606020203" pitchFamily="18" charset="0"/>
            <a:ea typeface="+mn-ea"/>
            <a:cs typeface="+mn-cs"/>
          </a:endParaRPr>
        </a:p>
      </xdr:txBody>
    </xdr:sp>
    <xdr:clientData/>
  </xdr:twoCellAnchor>
  <xdr:twoCellAnchor>
    <xdr:from>
      <xdr:col>9</xdr:col>
      <xdr:colOff>333375</xdr:colOff>
      <xdr:row>0</xdr:row>
      <xdr:rowOff>142875</xdr:rowOff>
    </xdr:from>
    <xdr:to>
      <xdr:col>12</xdr:col>
      <xdr:colOff>247650</xdr:colOff>
      <xdr:row>4</xdr:row>
      <xdr:rowOff>19050</xdr:rowOff>
    </xdr:to>
    <xdr:sp macro="" textlink="'Pivot Tables'!J17">
      <xdr:nvSpPr>
        <xdr:cNvPr id="8" name="TextBox 7">
          <a:extLst>
            <a:ext uri="{FF2B5EF4-FFF2-40B4-BE49-F238E27FC236}">
              <a16:creationId xmlns:a16="http://schemas.microsoft.com/office/drawing/2014/main" id="{2768AE52-8645-F342-E92E-69C66950790D}"/>
            </a:ext>
          </a:extLst>
        </xdr:cNvPr>
        <xdr:cNvSpPr txBox="1"/>
      </xdr:nvSpPr>
      <xdr:spPr>
        <a:xfrm>
          <a:off x="5819775" y="142875"/>
          <a:ext cx="1743075" cy="6381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1100" b="0" i="0" u="none" strike="noStrike">
            <a:solidFill>
              <a:srgbClr val="000000"/>
            </a:solidFill>
            <a:latin typeface="Aptos Narrow"/>
            <a:ea typeface="+mn-ea"/>
            <a:cs typeface="+mn-cs"/>
          </a:endParaRPr>
        </a:p>
        <a:p>
          <a:pPr marL="0" indent="0"/>
          <a:endParaRPr lang="en-US" sz="1100" b="0" i="0" u="none" strike="noStrike">
            <a:solidFill>
              <a:srgbClr val="000000"/>
            </a:solidFill>
            <a:latin typeface="Aptos Narrow"/>
            <a:ea typeface="+mn-ea"/>
            <a:cs typeface="+mn-cs"/>
          </a:endParaRPr>
        </a:p>
        <a:p>
          <a:pPr marL="0" indent="0" algn="ctr"/>
          <a:fld id="{2BB24842-D90E-4543-A4EE-5544A51E035E}" type="TxLink">
            <a:rPr lang="en-US" sz="1200" b="1" i="0" u="none" strike="noStrike">
              <a:solidFill>
                <a:srgbClr val="000000"/>
              </a:solidFill>
              <a:latin typeface="Bodoni MT" panose="02070603080606020203" pitchFamily="18" charset="0"/>
              <a:ea typeface="+mn-ea"/>
              <a:cs typeface="+mn-cs"/>
            </a:rPr>
            <a:pPr marL="0" indent="0" algn="ctr"/>
            <a:t>GHS 1,802,508 </a:t>
          </a:fld>
          <a:endParaRPr lang="en-US" sz="1200" b="1" i="0" u="none" strike="noStrike">
            <a:solidFill>
              <a:srgbClr val="000000"/>
            </a:solidFill>
            <a:latin typeface="Bodoni MT" panose="02070603080606020203" pitchFamily="18" charset="0"/>
            <a:ea typeface="+mn-ea"/>
            <a:cs typeface="+mn-cs"/>
          </a:endParaRPr>
        </a:p>
      </xdr:txBody>
    </xdr:sp>
    <xdr:clientData/>
  </xdr:twoCellAnchor>
  <xdr:twoCellAnchor>
    <xdr:from>
      <xdr:col>3</xdr:col>
      <xdr:colOff>147204</xdr:colOff>
      <xdr:row>1</xdr:row>
      <xdr:rowOff>0</xdr:rowOff>
    </xdr:from>
    <xdr:to>
      <xdr:col>6</xdr:col>
      <xdr:colOff>129886</xdr:colOff>
      <xdr:row>2</xdr:row>
      <xdr:rowOff>123825</xdr:rowOff>
    </xdr:to>
    <xdr:sp macro="" textlink="">
      <xdr:nvSpPr>
        <xdr:cNvPr id="9" name="TextBox 8">
          <a:extLst>
            <a:ext uri="{FF2B5EF4-FFF2-40B4-BE49-F238E27FC236}">
              <a16:creationId xmlns:a16="http://schemas.microsoft.com/office/drawing/2014/main" id="{51387BE0-BA56-BA0A-DF6C-BD57DB6D6406}"/>
            </a:ext>
          </a:extLst>
        </xdr:cNvPr>
        <xdr:cNvSpPr txBox="1"/>
      </xdr:nvSpPr>
      <xdr:spPr>
        <a:xfrm>
          <a:off x="1913659" y="190500"/>
          <a:ext cx="1749136" cy="3143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000000"/>
              </a:solidFill>
              <a:latin typeface="Bodoni MT" panose="02070603080606020203" pitchFamily="18" charset="0"/>
            </a:rPr>
            <a:t>Average Revenue</a:t>
          </a:r>
        </a:p>
      </xdr:txBody>
    </xdr:sp>
    <xdr:clientData/>
  </xdr:twoCellAnchor>
  <xdr:twoCellAnchor>
    <xdr:from>
      <xdr:col>6</xdr:col>
      <xdr:colOff>285750</xdr:colOff>
      <xdr:row>1</xdr:row>
      <xdr:rowOff>0</xdr:rowOff>
    </xdr:from>
    <xdr:to>
      <xdr:col>9</xdr:col>
      <xdr:colOff>216477</xdr:colOff>
      <xdr:row>2</xdr:row>
      <xdr:rowOff>123825</xdr:rowOff>
    </xdr:to>
    <xdr:sp macro="" textlink="">
      <xdr:nvSpPr>
        <xdr:cNvPr id="10" name="TextBox 9">
          <a:extLst>
            <a:ext uri="{FF2B5EF4-FFF2-40B4-BE49-F238E27FC236}">
              <a16:creationId xmlns:a16="http://schemas.microsoft.com/office/drawing/2014/main" id="{18979097-3D2A-1E7D-FF3C-D9E8C55F01FD}"/>
            </a:ext>
          </a:extLst>
        </xdr:cNvPr>
        <xdr:cNvSpPr txBox="1"/>
      </xdr:nvSpPr>
      <xdr:spPr>
        <a:xfrm>
          <a:off x="3818659" y="190500"/>
          <a:ext cx="1697182" cy="3143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rgbClr val="000000"/>
              </a:solidFill>
              <a:latin typeface="Bodoni MT" panose="02070603080606020203" pitchFamily="18" charset="0"/>
              <a:ea typeface="+mn-ea"/>
              <a:cs typeface="+mn-cs"/>
            </a:rPr>
            <a:t>Average Gross Profit</a:t>
          </a:r>
        </a:p>
      </xdr:txBody>
    </xdr:sp>
    <xdr:clientData/>
  </xdr:twoCellAnchor>
  <xdr:twoCellAnchor>
    <xdr:from>
      <xdr:col>9</xdr:col>
      <xdr:colOff>372341</xdr:colOff>
      <xdr:row>1</xdr:row>
      <xdr:rowOff>0</xdr:rowOff>
    </xdr:from>
    <xdr:to>
      <xdr:col>12</xdr:col>
      <xdr:colOff>207818</xdr:colOff>
      <xdr:row>2</xdr:row>
      <xdr:rowOff>123825</xdr:rowOff>
    </xdr:to>
    <xdr:sp macro="" textlink="">
      <xdr:nvSpPr>
        <xdr:cNvPr id="11" name="TextBox 10">
          <a:extLst>
            <a:ext uri="{FF2B5EF4-FFF2-40B4-BE49-F238E27FC236}">
              <a16:creationId xmlns:a16="http://schemas.microsoft.com/office/drawing/2014/main" id="{9CAE4A3C-31E2-0DA9-5148-44A5BA466641}"/>
            </a:ext>
          </a:extLst>
        </xdr:cNvPr>
        <xdr:cNvSpPr txBox="1"/>
      </xdr:nvSpPr>
      <xdr:spPr>
        <a:xfrm>
          <a:off x="5671705" y="190500"/>
          <a:ext cx="1601931" cy="3143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rgbClr val="000000"/>
              </a:solidFill>
              <a:latin typeface="Bodoni MT" panose="02070603080606020203" pitchFamily="18" charset="0"/>
              <a:ea typeface="+mn-ea"/>
              <a:cs typeface="+mn-cs"/>
            </a:rPr>
            <a:t>Average Net Profit</a:t>
          </a:r>
        </a:p>
      </xdr:txBody>
    </xdr:sp>
    <xdr:clientData/>
  </xdr:twoCellAnchor>
  <xdr:twoCellAnchor editAs="oneCell">
    <xdr:from>
      <xdr:col>0</xdr:col>
      <xdr:colOff>174913</xdr:colOff>
      <xdr:row>0</xdr:row>
      <xdr:rowOff>169718</xdr:rowOff>
    </xdr:from>
    <xdr:to>
      <xdr:col>3</xdr:col>
      <xdr:colOff>8659</xdr:colOff>
      <xdr:row>6</xdr:row>
      <xdr:rowOff>17317</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20F126CD-8ABF-4826-9315-DE368995EB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4913" y="169718"/>
              <a:ext cx="1600201"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9</xdr:row>
      <xdr:rowOff>38100</xdr:rowOff>
    </xdr:from>
    <xdr:to>
      <xdr:col>3</xdr:col>
      <xdr:colOff>209551</xdr:colOff>
      <xdr:row>31</xdr:row>
      <xdr:rowOff>104775</xdr:rowOff>
    </xdr:to>
    <xdr:pic>
      <xdr:nvPicPr>
        <xdr:cNvPr id="14" name="Picture 13">
          <a:extLst>
            <a:ext uri="{FF2B5EF4-FFF2-40B4-BE49-F238E27FC236}">
              <a16:creationId xmlns:a16="http://schemas.microsoft.com/office/drawing/2014/main" id="{7BFFB6D7-5CB3-C256-C9B3-2E4C3CC9F90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 y="1752600"/>
          <a:ext cx="2038350" cy="4257675"/>
        </a:xfrm>
        <a:prstGeom prst="rect">
          <a:avLst/>
        </a:prstGeom>
      </xdr:spPr>
    </xdr:pic>
    <xdr:clientData/>
  </xdr:twoCellAnchor>
  <xdr:twoCellAnchor>
    <xdr:from>
      <xdr:col>0</xdr:col>
      <xdr:colOff>304800</xdr:colOff>
      <xdr:row>6</xdr:row>
      <xdr:rowOff>123825</xdr:rowOff>
    </xdr:from>
    <xdr:to>
      <xdr:col>3</xdr:col>
      <xdr:colOff>209549</xdr:colOff>
      <xdr:row>9</xdr:row>
      <xdr:rowOff>171450</xdr:rowOff>
    </xdr:to>
    <xdr:sp macro="" textlink="">
      <xdr:nvSpPr>
        <xdr:cNvPr id="15" name="TextBox 14">
          <a:extLst>
            <a:ext uri="{FF2B5EF4-FFF2-40B4-BE49-F238E27FC236}">
              <a16:creationId xmlns:a16="http://schemas.microsoft.com/office/drawing/2014/main" id="{373A3F08-5651-3DF3-B663-955ADCBC8588}"/>
            </a:ext>
          </a:extLst>
        </xdr:cNvPr>
        <xdr:cNvSpPr txBox="1"/>
      </xdr:nvSpPr>
      <xdr:spPr>
        <a:xfrm>
          <a:off x="304800" y="1266825"/>
          <a:ext cx="1733549"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Bodoni MT" panose="02070603080606020203" pitchFamily="18" charset="0"/>
            </a:rPr>
            <a:t>Five Year Financial Model</a:t>
          </a:r>
        </a:p>
      </xdr:txBody>
    </xdr:sp>
    <xdr:clientData/>
  </xdr:twoCellAnchor>
  <xdr:twoCellAnchor>
    <xdr:from>
      <xdr:col>12</xdr:col>
      <xdr:colOff>323853</xdr:colOff>
      <xdr:row>0</xdr:row>
      <xdr:rowOff>161924</xdr:rowOff>
    </xdr:from>
    <xdr:to>
      <xdr:col>13</xdr:col>
      <xdr:colOff>600075</xdr:colOff>
      <xdr:row>2</xdr:row>
      <xdr:rowOff>57150</xdr:rowOff>
    </xdr:to>
    <xdr:sp macro="" textlink="">
      <xdr:nvSpPr>
        <xdr:cNvPr id="13" name="TextBox 12">
          <a:extLst>
            <a:ext uri="{FF2B5EF4-FFF2-40B4-BE49-F238E27FC236}">
              <a16:creationId xmlns:a16="http://schemas.microsoft.com/office/drawing/2014/main" id="{6B4B9F3C-8714-E5F9-A81F-DBE9D5E10544}"/>
            </a:ext>
          </a:extLst>
        </xdr:cNvPr>
        <xdr:cNvSpPr txBox="1"/>
      </xdr:nvSpPr>
      <xdr:spPr>
        <a:xfrm>
          <a:off x="7639053" y="161924"/>
          <a:ext cx="885822"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rgbClr val="000000"/>
              </a:solidFill>
              <a:latin typeface="Bodoni MT" panose="02070603080606020203" pitchFamily="18" charset="0"/>
              <a:ea typeface="+mn-ea"/>
              <a:cs typeface="+mn-cs"/>
            </a:rPr>
            <a:t>Scenario:</a:t>
          </a:r>
        </a:p>
      </xdr:txBody>
    </xdr:sp>
    <xdr:clientData/>
  </xdr:twoCellAnchor>
  <mc:AlternateContent xmlns:mc="http://schemas.openxmlformats.org/markup-compatibility/2006">
    <mc:Choice xmlns:a14="http://schemas.microsoft.com/office/drawing/2010/main" Requires="a14">
      <xdr:twoCellAnchor editAs="oneCell">
        <xdr:from>
          <xdr:col>13</xdr:col>
          <xdr:colOff>504825</xdr:colOff>
          <xdr:row>1</xdr:row>
          <xdr:rowOff>9525</xdr:rowOff>
        </xdr:from>
        <xdr:to>
          <xdr:col>15</xdr:col>
          <xdr:colOff>123825</xdr:colOff>
          <xdr:row>2</xdr:row>
          <xdr:rowOff>38100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3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12</xdr:col>
      <xdr:colOff>314328</xdr:colOff>
      <xdr:row>2</xdr:row>
      <xdr:rowOff>66674</xdr:rowOff>
    </xdr:from>
    <xdr:to>
      <xdr:col>13</xdr:col>
      <xdr:colOff>590550</xdr:colOff>
      <xdr:row>3</xdr:row>
      <xdr:rowOff>152400</xdr:rowOff>
    </xdr:to>
    <xdr:sp macro="" textlink="">
      <xdr:nvSpPr>
        <xdr:cNvPr id="17" name="TextBox 16">
          <a:hlinkClick xmlns:r="http://schemas.openxmlformats.org/officeDocument/2006/relationships" r:id="rId6"/>
          <a:extLst>
            <a:ext uri="{FF2B5EF4-FFF2-40B4-BE49-F238E27FC236}">
              <a16:creationId xmlns:a16="http://schemas.microsoft.com/office/drawing/2014/main" id="{755918BF-7FD8-34E8-B8B0-E86EC69748B8}"/>
            </a:ext>
          </a:extLst>
        </xdr:cNvPr>
        <xdr:cNvSpPr txBox="1"/>
      </xdr:nvSpPr>
      <xdr:spPr>
        <a:xfrm>
          <a:off x="7629528" y="447674"/>
          <a:ext cx="885822"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rgbClr val="000000"/>
              </a:solidFill>
              <a:latin typeface="Bodoni MT" panose="02070603080606020203" pitchFamily="18" charset="0"/>
              <a:ea typeface="+mn-ea"/>
              <a:cs typeface="+mn-cs"/>
            </a:rPr>
            <a:t>Back</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600075</xdr:colOff>
          <xdr:row>0</xdr:row>
          <xdr:rowOff>0</xdr:rowOff>
        </xdr:from>
        <xdr:to>
          <xdr:col>3</xdr:col>
          <xdr:colOff>342900</xdr:colOff>
          <xdr:row>1</xdr:row>
          <xdr:rowOff>47625</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600075</xdr:colOff>
          <xdr:row>0</xdr:row>
          <xdr:rowOff>0</xdr:rowOff>
        </xdr:from>
        <xdr:to>
          <xdr:col>3</xdr:col>
          <xdr:colOff>142875</xdr:colOff>
          <xdr:row>1</xdr:row>
          <xdr:rowOff>66675</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0</xdr:row>
          <xdr:rowOff>9525</xdr:rowOff>
        </xdr:from>
        <xdr:to>
          <xdr:col>3</xdr:col>
          <xdr:colOff>228600</xdr:colOff>
          <xdr:row>1</xdr:row>
          <xdr:rowOff>38100</xdr:rowOff>
        </xdr:to>
        <xdr:sp macro="" textlink="">
          <xdr:nvSpPr>
            <xdr:cNvPr id="7169" name="Drop Down 1"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0</xdr:row>
          <xdr:rowOff>9525</xdr:rowOff>
        </xdr:from>
        <xdr:to>
          <xdr:col>3</xdr:col>
          <xdr:colOff>219075</xdr:colOff>
          <xdr:row>1</xdr:row>
          <xdr:rowOff>66675</xdr:rowOff>
        </xdr:to>
        <xdr:sp macro="" textlink="">
          <xdr:nvSpPr>
            <xdr:cNvPr id="8193" name="Drop Down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0</xdr:row>
          <xdr:rowOff>9525</xdr:rowOff>
        </xdr:from>
        <xdr:to>
          <xdr:col>3</xdr:col>
          <xdr:colOff>238125</xdr:colOff>
          <xdr:row>1</xdr:row>
          <xdr:rowOff>66675</xdr:rowOff>
        </xdr:to>
        <xdr:sp macro="" textlink="">
          <xdr:nvSpPr>
            <xdr:cNvPr id="9217" name="Drop Down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609600</xdr:colOff>
          <xdr:row>0</xdr:row>
          <xdr:rowOff>0</xdr:rowOff>
        </xdr:from>
        <xdr:to>
          <xdr:col>2</xdr:col>
          <xdr:colOff>561975</xdr:colOff>
          <xdr:row>1</xdr:row>
          <xdr:rowOff>66675</xdr:rowOff>
        </xdr:to>
        <xdr:sp macro="" textlink="">
          <xdr:nvSpPr>
            <xdr:cNvPr id="10241" name="Drop Down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333375</xdr:colOff>
          <xdr:row>0</xdr:row>
          <xdr:rowOff>0</xdr:rowOff>
        </xdr:from>
        <xdr:to>
          <xdr:col>3</xdr:col>
          <xdr:colOff>523875</xdr:colOff>
          <xdr:row>1</xdr:row>
          <xdr:rowOff>38100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A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rniAmdan" refreshedDate="45934.916409606485" createdVersion="8" refreshedVersion="8" minRefreshableVersion="3" recordCount="15" xr:uid="{3556E70E-7AE9-4A74-A1B1-BA9748CED461}">
  <cacheSource type="worksheet">
    <worksheetSource name="Table1"/>
  </cacheSource>
  <cacheFields count="11">
    <cacheField name="Year" numFmtId="0">
      <sharedItems containsSemiMixedTypes="0" containsString="0" containsNumber="1" containsInteger="1" minValue="2026" maxValue="2030" count="5">
        <n v="2026"/>
        <n v="2027"/>
        <n v="2028"/>
        <n v="2029"/>
        <n v="2030"/>
      </sharedItems>
    </cacheField>
    <cacheField name="Revenue" numFmtId="0">
      <sharedItems containsString="0" containsBlank="1" containsNumber="1" minValue="6327360" maxValue="6768939.8399999999"/>
    </cacheField>
    <cacheField name="COS" numFmtId="0">
      <sharedItems containsString="0" containsBlank="1" containsNumber="1" minValue="2613314.3861018564" maxValue="3096942.656"/>
    </cacheField>
    <cacheField name="Gross Profit" numFmtId="0">
      <sharedItems containsString="0" containsBlank="1" containsNumber="1" minValue="3230417.344" maxValue="4155625.4538981435"/>
    </cacheField>
    <cacheField name="Opex Items" numFmtId="0">
      <sharedItems containsBlank="1" count="3">
        <m/>
        <s v="Other Expenses"/>
        <s v="Depreciation"/>
      </sharedItems>
    </cacheField>
    <cacheField name="OPEX" numFmtId="0">
      <sharedItems containsString="0" containsBlank="1" containsNumber="1" minValue="106441.1888" maxValue="1544283.2"/>
    </cacheField>
    <cacheField name="Operating Profit" numFmtId="0">
      <sharedItems containsString="0" containsBlank="1" containsNumber="1" minValue="1686134.1440000001" maxValue="3260197.3722981433"/>
    </cacheField>
    <cacheField name="Net Profit" numFmtId="0">
      <sharedItems containsString="0" containsBlank="1" containsNumber="1" minValue="1184769.7164000003" maxValue="2118762.6652951925"/>
    </cacheField>
    <cacheField name="GP Margin" numFmtId="0">
      <sharedItems containsString="0" containsBlank="1" containsNumber="1" minValue="0.5105474232539321" maxValue="0.61392560018647524"/>
    </cacheField>
    <cacheField name="NP Margin" numFmtId="0">
      <sharedItems containsString="0" containsBlank="1" containsNumber="1" minValue="0.18724550466545292" maxValue="0.31301248280782362"/>
    </cacheField>
    <cacheField name="ROCE" numFmtId="0">
      <sharedItems containsString="0" containsBlank="1" containsNumber="1" minValue="0.17755144505047557" maxValue="0.27603338510204506"/>
    </cacheField>
  </cacheFields>
  <extLst>
    <ext xmlns:x14="http://schemas.microsoft.com/office/spreadsheetml/2009/9/main" uri="{725AE2AE-9491-48be-B2B4-4EB974FC3084}">
      <x14:pivotCacheDefinition pivotCacheId="1489297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6327360"/>
    <n v="3096942.656"/>
    <n v="3230417.344"/>
    <x v="0"/>
    <m/>
    <n v="1686134.1440000001"/>
    <n v="1184769.7164000003"/>
    <n v="0.5105474232539321"/>
    <n v="0.18724550466545292"/>
    <n v="0.17755144505047557"/>
  </r>
  <r>
    <x v="1"/>
    <n v="6503243.1359999999"/>
    <n v="3030787.0373726794"/>
    <n v="3472456.0986273205"/>
    <x v="0"/>
    <m/>
    <n v="2587066.9223073204"/>
    <n v="1813395.758646911"/>
    <n v="0.53395760023254346"/>
    <n v="0.27884483491144546"/>
    <n v="0.24876106632626385"/>
  </r>
  <r>
    <x v="2"/>
    <n v="6591808.7039999999"/>
    <n v="2921286.0140885292"/>
    <n v="3670522.6899114707"/>
    <x v="0"/>
    <m/>
    <n v="2768505.6454314706"/>
    <n v="1887148.1409019702"/>
    <n v="0.55683088735329156"/>
    <n v="0.28628684866974718"/>
    <n v="0.24663432128694288"/>
  </r>
  <r>
    <x v="3"/>
    <n v="6680374.2719999999"/>
    <n v="2784409.7349833413"/>
    <n v="3895964.5370166586"/>
    <x v="0"/>
    <m/>
    <n v="3010721.4957366586"/>
    <n v="2008463.8452872154"/>
    <n v="0.58319554839107357"/>
    <n v="0.30065139519284939"/>
    <n v="0.27603338510204506"/>
  </r>
  <r>
    <x v="4"/>
    <n v="6768939.8399999999"/>
    <n v="2613314.3861018564"/>
    <n v="4155625.4538981435"/>
    <x v="0"/>
    <m/>
    <n v="3260197.3722981433"/>
    <n v="2118762.6652951925"/>
    <n v="0.61392560018647524"/>
    <n v="0.31301248280782362"/>
    <n v="0.25870266458779423"/>
  </r>
  <r>
    <x v="0"/>
    <m/>
    <m/>
    <m/>
    <x v="1"/>
    <n v="1544283.2"/>
    <m/>
    <m/>
    <m/>
    <m/>
    <m/>
  </r>
  <r>
    <x v="0"/>
    <m/>
    <m/>
    <m/>
    <x v="2"/>
    <n v="106441.1888"/>
    <m/>
    <m/>
    <m/>
    <m/>
    <m/>
  </r>
  <r>
    <x v="1"/>
    <m/>
    <m/>
    <m/>
    <x v="1"/>
    <n v="885389.17631999997"/>
    <m/>
    <m/>
    <m/>
    <m/>
    <m/>
  </r>
  <r>
    <x v="1"/>
    <m/>
    <m/>
    <m/>
    <x v="2"/>
    <n v="169205.91077810567"/>
    <m/>
    <m/>
    <m/>
    <m/>
    <m/>
  </r>
  <r>
    <x v="2"/>
    <m/>
    <m/>
    <m/>
    <x v="1"/>
    <n v="902017.04448000004"/>
    <m/>
    <m/>
    <m/>
    <m/>
    <m/>
  </r>
  <r>
    <x v="2"/>
    <m/>
    <m/>
    <m/>
    <x v="2"/>
    <n v="252308.1242288434"/>
    <m/>
    <m/>
    <m/>
    <m/>
    <m/>
  </r>
  <r>
    <x v="3"/>
    <m/>
    <m/>
    <m/>
    <x v="1"/>
    <n v="885243.04127999989"/>
    <m/>
    <m/>
    <m/>
    <m/>
    <m/>
  </r>
  <r>
    <x v="3"/>
    <m/>
    <m/>
    <m/>
    <x v="2"/>
    <n v="332769.70202037127"/>
    <m/>
    <m/>
    <m/>
    <m/>
    <m/>
  </r>
  <r>
    <x v="4"/>
    <m/>
    <m/>
    <m/>
    <x v="1"/>
    <n v="895428.08160000003"/>
    <m/>
    <m/>
    <m/>
    <m/>
    <m/>
  </r>
  <r>
    <x v="4"/>
    <m/>
    <m/>
    <m/>
    <x v="2"/>
    <n v="435180.4852378867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4D5F44-4B92-4F16-9449-36D88B4E76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9:C32" firstHeaderRow="1" firstDataRow="1" firstDataCol="1"/>
  <pivotFields count="11">
    <pivotField showAll="0">
      <items count="6">
        <item x="0"/>
        <item x="1"/>
        <item x="2"/>
        <item x="3"/>
        <item x="4"/>
        <item t="default"/>
      </items>
    </pivotField>
    <pivotField showAll="0"/>
    <pivotField showAll="0"/>
    <pivotField showAll="0"/>
    <pivotField axis="axisRow" showAll="0">
      <items count="4">
        <item x="2"/>
        <item x="1"/>
        <item h="1" x="0"/>
        <item t="default"/>
      </items>
    </pivotField>
    <pivotField dataField="1" showAll="0"/>
    <pivotField showAll="0"/>
    <pivotField showAll="0"/>
    <pivotField showAll="0"/>
    <pivotField showAll="0"/>
    <pivotField showAll="0"/>
  </pivotFields>
  <rowFields count="1">
    <field x="4"/>
  </rowFields>
  <rowItems count="3">
    <i>
      <x/>
    </i>
    <i>
      <x v="1"/>
    </i>
    <i t="grand">
      <x/>
    </i>
  </rowItems>
  <colItems count="1">
    <i/>
  </colItems>
  <dataFields count="1">
    <dataField name="Sum of OPEX" fld="5" baseField="0" baseItem="0"/>
  </dataFields>
  <formats count="1">
    <format dxfId="0">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E6BDAC-74EF-4570-A222-3DDB0F49E1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E17" firstHeaderRow="0" firstDataRow="1" firstDataCol="1"/>
  <pivotFields count="11">
    <pivotField axis="axisRow" showAll="0">
      <items count="6">
        <item x="0"/>
        <item x="1"/>
        <item x="2"/>
        <item x="3"/>
        <item x="4"/>
        <item t="default"/>
      </items>
    </pivotField>
    <pivotField dataField="1" showAll="0"/>
    <pivotField showAll="0"/>
    <pivotField dataField="1" showAll="0"/>
    <pivotField showAll="0"/>
    <pivotField showAll="0"/>
    <pivotField showAll="0"/>
    <pivotField dataField="1" showAll="0"/>
    <pivotField showAll="0"/>
    <pivotField showAll="0"/>
    <pivotField showAll="0"/>
  </pivotFields>
  <rowFields count="1">
    <field x="0"/>
  </rowFields>
  <rowItems count="6">
    <i>
      <x/>
    </i>
    <i>
      <x v="1"/>
    </i>
    <i>
      <x v="2"/>
    </i>
    <i>
      <x v="3"/>
    </i>
    <i>
      <x v="4"/>
    </i>
    <i t="grand">
      <x/>
    </i>
  </rowItems>
  <colFields count="1">
    <field x="-2"/>
  </colFields>
  <colItems count="3">
    <i>
      <x/>
    </i>
    <i i="1">
      <x v="1"/>
    </i>
    <i i="2">
      <x v="2"/>
    </i>
  </colItems>
  <dataFields count="3">
    <dataField name="Average of Revenue" fld="1" subtotal="average" baseField="0" baseItem="0"/>
    <dataField name="Average of Gross Profit" fld="3" subtotal="average" baseField="0" baseItem="0"/>
    <dataField name="Average of Net Profit" fld="7" subtotal="average" baseField="0" baseItem="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ADCE85-0EA7-4EF2-900E-A91121500E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0:E27" firstHeaderRow="1" firstDataRow="2" firstDataCol="1"/>
  <pivotFields count="11">
    <pivotField axis="axisRow" showAll="0">
      <items count="6">
        <item x="0"/>
        <item x="1"/>
        <item x="2"/>
        <item x="3"/>
        <item x="4"/>
        <item t="default"/>
      </items>
    </pivotField>
    <pivotField showAll="0"/>
    <pivotField showAll="0"/>
    <pivotField showAll="0"/>
    <pivotField axis="axisCol" showAll="0">
      <items count="4">
        <item x="2"/>
        <item x="1"/>
        <item h="1" x="0"/>
        <item t="default"/>
      </items>
    </pivotField>
    <pivotField dataField="1" showAll="0"/>
    <pivotField showAll="0"/>
    <pivotField showAll="0"/>
    <pivotField showAll="0"/>
    <pivotField showAll="0"/>
    <pivotField showAll="0"/>
  </pivotFields>
  <rowFields count="1">
    <field x="0"/>
  </rowFields>
  <rowItems count="6">
    <i>
      <x/>
    </i>
    <i>
      <x v="1"/>
    </i>
    <i>
      <x v="2"/>
    </i>
    <i>
      <x v="3"/>
    </i>
    <i>
      <x v="4"/>
    </i>
    <i t="grand">
      <x/>
    </i>
  </rowItems>
  <colFields count="1">
    <field x="4"/>
  </colFields>
  <colItems count="3">
    <i>
      <x/>
    </i>
    <i>
      <x v="1"/>
    </i>
    <i t="grand">
      <x/>
    </i>
  </colItems>
  <dataFields count="1">
    <dataField name="Sum of OPEX" fld="5" baseField="0" baseItem="0"/>
  </dataFields>
  <formats count="1">
    <format dxfId="2">
      <pivotArea outline="0" collapsedLevelsAreSubtotals="1" fieldPosition="0"/>
    </format>
  </formats>
  <chartFormats count="2">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5C9508-E9BE-4D7E-84BD-43A93661AE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F9" firstHeaderRow="0" firstDataRow="1" firstDataCol="1"/>
  <pivotFields count="11">
    <pivotField axis="axisRow" showAll="0">
      <items count="6">
        <item x="0"/>
        <item x="1"/>
        <item x="2"/>
        <item x="3"/>
        <item x="4"/>
        <item t="default"/>
      </items>
    </pivotField>
    <pivotField dataField="1" showAll="0"/>
    <pivotField dataField="1" showAll="0"/>
    <pivotField dataField="1" showAll="0"/>
    <pivotField showAll="0"/>
    <pivotField showAll="0"/>
    <pivotField showAll="0"/>
    <pivotField dataField="1" showAll="0"/>
    <pivotField showAll="0"/>
    <pivotField showAll="0"/>
    <pivotField showAll="0"/>
  </pivotFields>
  <rowFields count="1">
    <field x="0"/>
  </rowFields>
  <rowItems count="6">
    <i>
      <x/>
    </i>
    <i>
      <x v="1"/>
    </i>
    <i>
      <x v="2"/>
    </i>
    <i>
      <x v="3"/>
    </i>
    <i>
      <x v="4"/>
    </i>
    <i t="grand">
      <x/>
    </i>
  </rowItems>
  <colFields count="1">
    <field x="-2"/>
  </colFields>
  <colItems count="4">
    <i>
      <x/>
    </i>
    <i i="1">
      <x v="1"/>
    </i>
    <i i="2">
      <x v="2"/>
    </i>
    <i i="3">
      <x v="3"/>
    </i>
  </colItems>
  <dataFields count="4">
    <dataField name="Sum of Revenue" fld="1" baseField="0" baseItem="0"/>
    <dataField name="Sum of COS" fld="2" baseField="0" baseItem="0"/>
    <dataField name="Sum of Gross Profit" fld="3" baseField="0" baseItem="0"/>
    <dataField name="Sum of Net Profit" fld="7" baseField="0" baseItem="0"/>
  </dataFields>
  <formats count="1">
    <format dxfId="3">
      <pivotArea outline="0" collapsedLevelsAreSubtotals="1" fieldPosition="0"/>
    </format>
  </format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138687-4246-4B85-A578-EDF067DCD9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5:E41" firstHeaderRow="0" firstDataRow="1" firstDataCol="1"/>
  <pivotFields count="11">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3">
    <i>
      <x/>
    </i>
    <i i="1">
      <x v="1"/>
    </i>
    <i i="2">
      <x v="2"/>
    </i>
  </colItems>
  <dataFields count="3">
    <dataField name="Sum of GP Margin" fld="8" baseField="0" baseItem="0"/>
    <dataField name="Sum of NP Margin" fld="9" baseField="0" baseItem="0"/>
    <dataField name="Sum of ROCE" fld="10" baseField="0" baseItem="0"/>
  </dataFields>
  <formats count="3">
    <format dxfId="6">
      <pivotArea outline="0" collapsedLevelsAreSubtotals="1" fieldPosition="0"/>
    </format>
    <format dxfId="5">
      <pivotArea collapsedLevelsAreSubtotals="1" fieldPosition="0">
        <references count="1">
          <reference field="0" count="0"/>
        </references>
      </pivotArea>
    </format>
    <format dxfId="4">
      <pivotArea grandRow="1" outline="0" collapsedLevelsAreSubtotals="1" fieldPosition="0"/>
    </format>
  </formats>
  <chartFormats count="1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1"/>
          </reference>
          <reference field="0" count="1" selected="0">
            <x v="0"/>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 chart="2" format="13">
      <pivotArea type="data" outline="0" fieldPosition="0">
        <references count="2">
          <reference field="4294967294" count="1" selected="0">
            <x v="0"/>
          </reference>
          <reference field="0" count="1" selected="0">
            <x v="3"/>
          </reference>
        </references>
      </pivotArea>
    </chartFormat>
    <chartFormat chart="2" format="14">
      <pivotArea type="data" outline="0" fieldPosition="0">
        <references count="2">
          <reference field="4294967294" count="1" selected="0">
            <x v="1"/>
          </reference>
          <reference field="0" count="1" selected="0">
            <x v="1"/>
          </reference>
        </references>
      </pivotArea>
    </chartFormat>
    <chartFormat chart="2" format="15">
      <pivotArea type="data" outline="0" fieldPosition="0">
        <references count="2">
          <reference field="4294967294" count="1" selected="0">
            <x v="1"/>
          </reference>
          <reference field="0" count="1" selected="0">
            <x v="2"/>
          </reference>
        </references>
      </pivotArea>
    </chartFormat>
    <chartFormat chart="2" format="16">
      <pivotArea type="data" outline="0" fieldPosition="0">
        <references count="2">
          <reference field="4294967294" count="1" selected="0">
            <x v="1"/>
          </reference>
          <reference field="0" count="1" selected="0">
            <x v="3"/>
          </reference>
        </references>
      </pivotArea>
    </chartFormat>
    <chartFormat chart="2" format="17">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36EE42A-0436-4B52-8700-23B525438BDB}" sourceName="Year">
  <pivotTables>
    <pivotTable tabId="10" name="PivotTable1"/>
    <pivotTable tabId="10" name="PivotTable2"/>
    <pivotTable tabId="10" name="PivotTable3"/>
    <pivotTable tabId="10" name="PivotTable4"/>
    <pivotTable tabId="10" name="PivotTable5"/>
  </pivotTables>
  <data>
    <tabular pivotCacheId="148929757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C17E0B8-9258-4AB6-B2B0-2CD526E04522}" cache="Slicer_Year" caption="Year" columnCount="3" style="SlicerStyleOther1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D02856-690F-4942-A551-05F22C55663C}" name="Table1" displayName="Table1" ref="B5:L20" totalsRowShown="0">
  <autoFilter ref="B5:L20" xr:uid="{C4D02856-690F-4942-A551-05F22C55663C}"/>
  <tableColumns count="11">
    <tableColumn id="1" xr3:uid="{A68BC3A2-A09A-4A33-95F7-5A4F92245F86}" name="Year" dataDxfId="8"/>
    <tableColumn id="2" xr3:uid="{291E17DA-9BE9-422F-9C2B-B838433D8F63}" name="Revenue"/>
    <tableColumn id="3" xr3:uid="{1D756145-1BA4-4D0C-994C-4A15B23424D3}" name="COS"/>
    <tableColumn id="4" xr3:uid="{E1836A9E-4612-41C1-B150-E674FEDBBE0E}" name="Gross Profit"/>
    <tableColumn id="5" xr3:uid="{DA544B87-34AC-4779-87C3-FC637FFB249C}" name="Opex Items"/>
    <tableColumn id="6" xr3:uid="{785C9B9F-A770-4320-8D9D-81859C7DB741}" name="OPEX" dataDxfId="7" dataCellStyle="Comma"/>
    <tableColumn id="7" xr3:uid="{3BEDB7CB-9017-449B-A12E-449E538B752F}" name="Operating Profit"/>
    <tableColumn id="8" xr3:uid="{A3E6ECE4-765A-4187-A242-7997D23D1203}" name="Net Profit"/>
    <tableColumn id="9" xr3:uid="{C36F912F-7110-4758-BAF0-F163F89FFA97}" name="GP Margin"/>
    <tableColumn id="10" xr3:uid="{B37A03A9-61B4-4742-AB7C-A4291E7F529C}" name="NP Margin"/>
    <tableColumn id="11" xr3:uid="{81C307E8-5D41-4471-AC72-E77F431C6D5A}" name="ROC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8.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9.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10.xml"/><Relationship Id="rId2" Type="http://schemas.openxmlformats.org/officeDocument/2006/relationships/vmlDrawing" Target="../drawings/vmlDrawing10.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954F-4B82-472D-9457-BD1B3F976EA9}">
  <dimension ref="A1"/>
  <sheetViews>
    <sheetView showGridLines="0" tabSelected="1" workbookViewId="0">
      <selection activeCell="R19" sqref="R19"/>
    </sheetView>
  </sheetViews>
  <sheetFormatPr defaultColWidth="8.8554687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CE8AD-A167-4192-9CDD-E0C6B56EF69E}">
  <sheetPr>
    <tabColor theme="2" tint="-0.499984740745262"/>
  </sheetPr>
  <dimension ref="B1:L15"/>
  <sheetViews>
    <sheetView showGridLines="0" workbookViewId="0">
      <selection activeCell="J30" sqref="J30"/>
    </sheetView>
  </sheetViews>
  <sheetFormatPr defaultColWidth="8.85546875" defaultRowHeight="15" x14ac:dyDescent="0.25"/>
  <cols>
    <col min="11" max="11" width="10.42578125" customWidth="1"/>
    <col min="12" max="12" width="10.140625" bestFit="1" customWidth="1"/>
  </cols>
  <sheetData>
    <row r="1" spans="2:12" x14ac:dyDescent="0.25">
      <c r="B1" s="3" t="s">
        <v>274</v>
      </c>
      <c r="K1" s="105" t="s">
        <v>278</v>
      </c>
      <c r="L1" s="106">
        <f ca="1">TODAY()</f>
        <v>45934</v>
      </c>
    </row>
    <row r="3" spans="2:12" ht="18.75" x14ac:dyDescent="0.3">
      <c r="B3" s="25" t="s">
        <v>228</v>
      </c>
      <c r="C3" s="26"/>
      <c r="D3" s="26"/>
      <c r="E3" s="26"/>
      <c r="F3" s="26"/>
      <c r="G3" s="26"/>
      <c r="H3" s="26"/>
      <c r="I3" s="26"/>
      <c r="J3" s="26"/>
      <c r="K3" s="26"/>
      <c r="L3" s="26"/>
    </row>
    <row r="5" spans="2:12" ht="15.75" thickBot="1" x14ac:dyDescent="0.3">
      <c r="B5" s="79" t="s">
        <v>229</v>
      </c>
      <c r="C5" s="79" t="s">
        <v>230</v>
      </c>
      <c r="D5" s="56"/>
    </row>
    <row r="6" spans="2:12" x14ac:dyDescent="0.25">
      <c r="B6" s="80">
        <v>1</v>
      </c>
      <c r="C6" s="81" t="s">
        <v>231</v>
      </c>
    </row>
    <row r="7" spans="2:12" x14ac:dyDescent="0.25">
      <c r="B7" s="80">
        <v>2</v>
      </c>
      <c r="C7" s="81" t="s">
        <v>232</v>
      </c>
    </row>
    <row r="8" spans="2:12" x14ac:dyDescent="0.25">
      <c r="B8" s="80">
        <v>3</v>
      </c>
      <c r="C8" s="81" t="s">
        <v>55</v>
      </c>
    </row>
    <row r="9" spans="2:12" x14ac:dyDescent="0.25">
      <c r="B9" s="80">
        <v>4</v>
      </c>
      <c r="C9" s="81" t="s">
        <v>56</v>
      </c>
    </row>
    <row r="10" spans="2:12" x14ac:dyDescent="0.25">
      <c r="B10" s="80">
        <v>5</v>
      </c>
      <c r="C10" s="81" t="s">
        <v>89</v>
      </c>
    </row>
    <row r="11" spans="2:12" x14ac:dyDescent="0.25">
      <c r="B11" s="80">
        <v>6</v>
      </c>
      <c r="C11" s="81" t="s">
        <v>98</v>
      </c>
    </row>
    <row r="12" spans="2:12" x14ac:dyDescent="0.25">
      <c r="B12" s="80">
        <v>7</v>
      </c>
      <c r="C12" s="81" t="s">
        <v>120</v>
      </c>
    </row>
    <row r="13" spans="2:12" x14ac:dyDescent="0.25">
      <c r="B13" s="80">
        <v>8</v>
      </c>
      <c r="C13" s="81" t="s">
        <v>233</v>
      </c>
    </row>
    <row r="14" spans="2:12" x14ac:dyDescent="0.25">
      <c r="B14" s="80">
        <v>9</v>
      </c>
      <c r="C14" s="81" t="s">
        <v>189</v>
      </c>
    </row>
    <row r="15" spans="2:12" x14ac:dyDescent="0.25">
      <c r="B15" s="80">
        <v>10</v>
      </c>
      <c r="C15" s="81" t="s">
        <v>234</v>
      </c>
    </row>
  </sheetData>
  <hyperlinks>
    <hyperlink ref="C6" location="'Summary Page'!A1" display="Summary" xr:uid="{89760841-9B22-4037-B794-CB734F5A6CF8}"/>
    <hyperlink ref="C7" location="Dashboard!A1" display="Dashboard" xr:uid="{691FD11A-C347-43FE-898D-187B1716C56A}"/>
    <hyperlink ref="C8" location="Assumptions!A1" display="Assumptions" xr:uid="{F2D92A36-C700-4EC8-91B4-F3942E26D135}"/>
    <hyperlink ref="C9" location="Workings!A1" display="Workings" xr:uid="{3B6F63C4-8631-47A1-ABDD-4F57E3F5F424}"/>
    <hyperlink ref="C10" location="'Income Statement'!A1" display="Income Statement" xr:uid="{3024707E-E2D0-4100-AB7D-F22A687774BE}"/>
    <hyperlink ref="C11" location="'Balance Sheet'!A1" display="Balance Sheet" xr:uid="{E03BC163-AA88-4B78-8E24-BC2A7A7DB1E6}"/>
    <hyperlink ref="C12" location="'Cashflow Statement'!A1" display="Cashflow Statement" xr:uid="{11FEE3C9-75C9-40FC-A0BE-1D18818EEC58}"/>
    <hyperlink ref="C13" location="Valuation!A1" display="Valuation" xr:uid="{A9C1B1F9-2C66-42B5-833B-83BB86931079}"/>
    <hyperlink ref="C14" location="'Financial Ratios'!A1" display="Financial Ratios" xr:uid="{5C86F218-62A4-4144-849A-5DC6244EDB26}"/>
    <hyperlink ref="C15" location="'Data Page'!A1" display="Data Page" xr:uid="{E152A7BD-E209-4921-89C3-1D64B57B0992}"/>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Drop Down 1">
              <controlPr defaultSize="0" autoLine="0" autoPict="0">
                <anchor moveWithCells="1">
                  <from>
                    <xdr:col>2</xdr:col>
                    <xdr:colOff>9525</xdr:colOff>
                    <xdr:row>0</xdr:row>
                    <xdr:rowOff>9525</xdr:rowOff>
                  </from>
                  <to>
                    <xdr:col>3</xdr:col>
                    <xdr:colOff>219075</xdr:colOff>
                    <xdr:row>1</xdr:row>
                    <xdr:rowOff>66675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4AC6-5EB5-4142-A458-4D823F5EACB2}">
  <sheetPr>
    <tabColor theme="2" tint="-0.499984740745262"/>
  </sheetPr>
  <dimension ref="B1:O53"/>
  <sheetViews>
    <sheetView showGridLines="0" zoomScaleNormal="100" workbookViewId="0">
      <selection activeCell="M1" sqref="M1"/>
    </sheetView>
  </sheetViews>
  <sheetFormatPr defaultColWidth="8.85546875" defaultRowHeight="15" x14ac:dyDescent="0.25"/>
  <cols>
    <col min="3" max="3" width="4.28515625" customWidth="1"/>
    <col min="4" max="4" width="25.42578125" customWidth="1"/>
    <col min="7" max="7" width="14.42578125" bestFit="1" customWidth="1"/>
    <col min="8" max="11" width="14.28515625" bestFit="1" customWidth="1"/>
    <col min="13" max="13" width="11.7109375" bestFit="1" customWidth="1"/>
    <col min="14" max="14" width="10.140625" bestFit="1" customWidth="1"/>
  </cols>
  <sheetData>
    <row r="1" spans="2:15" x14ac:dyDescent="0.25">
      <c r="B1" s="3" t="s">
        <v>274</v>
      </c>
      <c r="M1" s="105" t="s">
        <v>278</v>
      </c>
      <c r="N1" s="106">
        <f ca="1">TODAY()</f>
        <v>45934</v>
      </c>
      <c r="O1" s="104" t="s">
        <v>275</v>
      </c>
    </row>
    <row r="2" spans="2:15" ht="15.75" thickBot="1" x14ac:dyDescent="0.3"/>
    <row r="3" spans="2:15" x14ac:dyDescent="0.25">
      <c r="B3" s="82"/>
      <c r="C3" s="59"/>
      <c r="D3" s="59"/>
      <c r="E3" s="59"/>
      <c r="F3" s="59"/>
      <c r="G3" s="59"/>
      <c r="H3" s="59"/>
      <c r="I3" s="59"/>
      <c r="J3" s="59"/>
      <c r="K3" s="59"/>
      <c r="L3" s="59"/>
      <c r="M3" s="59"/>
      <c r="N3" s="83"/>
    </row>
    <row r="4" spans="2:15" x14ac:dyDescent="0.25">
      <c r="B4" s="84"/>
      <c r="N4" s="85"/>
    </row>
    <row r="5" spans="2:15" ht="26.25" x14ac:dyDescent="0.4">
      <c r="B5" s="84"/>
      <c r="C5" s="86" t="s">
        <v>235</v>
      </c>
      <c r="F5" s="86" t="s">
        <v>262</v>
      </c>
      <c r="N5" s="85"/>
    </row>
    <row r="6" spans="2:15" ht="15.75" x14ac:dyDescent="0.25">
      <c r="B6" s="84"/>
      <c r="C6" s="87" t="s">
        <v>236</v>
      </c>
      <c r="F6" t="s">
        <v>263</v>
      </c>
      <c r="N6" s="85"/>
    </row>
    <row r="7" spans="2:15" x14ac:dyDescent="0.25">
      <c r="B7" s="84"/>
      <c r="N7" s="85"/>
    </row>
    <row r="8" spans="2:15" x14ac:dyDescent="0.25">
      <c r="B8" s="84"/>
      <c r="C8" s="2" t="s">
        <v>237</v>
      </c>
      <c r="G8" s="6">
        <f>Workings!I87</f>
        <v>5392069.919999999</v>
      </c>
      <c r="N8" s="85"/>
    </row>
    <row r="9" spans="2:15" x14ac:dyDescent="0.25">
      <c r="B9" s="84"/>
      <c r="C9" s="2" t="s">
        <v>168</v>
      </c>
      <c r="G9" s="6">
        <f>Valuation!I27</f>
        <v>15826181.325649573</v>
      </c>
      <c r="N9" s="85"/>
    </row>
    <row r="10" spans="2:15" x14ac:dyDescent="0.25">
      <c r="B10" s="84"/>
      <c r="C10" s="2" t="s">
        <v>238</v>
      </c>
      <c r="G10" s="6">
        <f>Valuation!I51</f>
        <v>11319074.740254261</v>
      </c>
      <c r="N10" s="85"/>
    </row>
    <row r="11" spans="2:15" x14ac:dyDescent="0.25">
      <c r="B11" s="84"/>
      <c r="N11" s="85"/>
    </row>
    <row r="12" spans="2:15" ht="15.75" thickBot="1" x14ac:dyDescent="0.3">
      <c r="B12" s="84"/>
      <c r="G12" s="88">
        <v>2026</v>
      </c>
      <c r="H12" s="88">
        <f>G12+1</f>
        <v>2027</v>
      </c>
      <c r="I12" s="88">
        <f t="shared" ref="I12:K12" si="0">H12+1</f>
        <v>2028</v>
      </c>
      <c r="J12" s="88">
        <f t="shared" si="0"/>
        <v>2029</v>
      </c>
      <c r="K12" s="88">
        <f t="shared" si="0"/>
        <v>2030</v>
      </c>
      <c r="N12" s="85"/>
    </row>
    <row r="13" spans="2:15" x14ac:dyDescent="0.25">
      <c r="B13" s="84"/>
      <c r="C13" s="2" t="s">
        <v>89</v>
      </c>
      <c r="N13" s="85"/>
    </row>
    <row r="14" spans="2:15" x14ac:dyDescent="0.25">
      <c r="B14" s="84"/>
      <c r="D14" t="s">
        <v>57</v>
      </c>
      <c r="G14" s="6">
        <f>'Income Statement'!I6</f>
        <v>6327360</v>
      </c>
      <c r="H14" s="6">
        <f>'Income Statement'!J6</f>
        <v>6503243.1359999999</v>
      </c>
      <c r="I14" s="6">
        <f>'Income Statement'!K6</f>
        <v>6591808.7039999999</v>
      </c>
      <c r="J14" s="6">
        <f>'Income Statement'!L6</f>
        <v>6680374.2719999999</v>
      </c>
      <c r="K14" s="6">
        <f>'Income Statement'!M6</f>
        <v>6768939.8399999999</v>
      </c>
      <c r="N14" s="85"/>
    </row>
    <row r="15" spans="2:15" x14ac:dyDescent="0.25">
      <c r="B15" s="84"/>
      <c r="D15" t="s">
        <v>58</v>
      </c>
      <c r="G15" s="6">
        <f>-'Income Statement'!I7</f>
        <v>3096942.656</v>
      </c>
      <c r="H15" s="6">
        <f>-'Income Statement'!J7</f>
        <v>3030787.0373726794</v>
      </c>
      <c r="I15" s="6">
        <f>-'Income Statement'!K7</f>
        <v>2921286.0140885292</v>
      </c>
      <c r="J15" s="6">
        <f>-'Income Statement'!L7</f>
        <v>2784409.7349833413</v>
      </c>
      <c r="K15" s="6">
        <f>-'Income Statement'!M7</f>
        <v>2613314.3861018564</v>
      </c>
      <c r="N15" s="85"/>
    </row>
    <row r="16" spans="2:15" x14ac:dyDescent="0.25">
      <c r="B16" s="84"/>
      <c r="D16" t="s">
        <v>209</v>
      </c>
      <c r="G16" s="6">
        <f>'Income Statement'!I9</f>
        <v>3230417.344</v>
      </c>
      <c r="H16" s="6">
        <f>'Income Statement'!J9</f>
        <v>3472456.0986273205</v>
      </c>
      <c r="I16" s="6">
        <f>'Income Statement'!K9</f>
        <v>3670522.6899114707</v>
      </c>
      <c r="J16" s="6">
        <f>'Income Statement'!L9</f>
        <v>3895964.5370166586</v>
      </c>
      <c r="K16" s="6">
        <f>'Income Statement'!M9</f>
        <v>4155625.4538981435</v>
      </c>
      <c r="N16" s="85"/>
    </row>
    <row r="17" spans="2:14" x14ac:dyDescent="0.25">
      <c r="B17" s="84"/>
      <c r="D17" t="s">
        <v>239</v>
      </c>
      <c r="G17" s="6">
        <f>-'Income Statement'!I11</f>
        <v>1544283.2</v>
      </c>
      <c r="H17" s="6">
        <f>-'Income Statement'!J11</f>
        <v>885389.17631999997</v>
      </c>
      <c r="I17" s="6">
        <f>-'Income Statement'!K11</f>
        <v>902017.04448000004</v>
      </c>
      <c r="J17" s="6">
        <f>-'Income Statement'!L11</f>
        <v>885243.04127999989</v>
      </c>
      <c r="K17" s="6">
        <f>-'Income Statement'!M11</f>
        <v>895428.08160000003</v>
      </c>
      <c r="N17" s="85"/>
    </row>
    <row r="18" spans="2:14" x14ac:dyDescent="0.25">
      <c r="B18" s="84"/>
      <c r="D18" t="s">
        <v>240</v>
      </c>
      <c r="G18" s="6">
        <f>'Income Statement'!I13</f>
        <v>1686134.1440000001</v>
      </c>
      <c r="H18" s="6">
        <f>'Income Statement'!J13</f>
        <v>2587066.9223073204</v>
      </c>
      <c r="I18" s="6">
        <f>'Income Statement'!K13</f>
        <v>2768505.6454314706</v>
      </c>
      <c r="J18" s="6">
        <f>'Income Statement'!L13</f>
        <v>3010721.4957366586</v>
      </c>
      <c r="K18" s="6">
        <f>'Income Statement'!M13</f>
        <v>3260197.3722981433</v>
      </c>
      <c r="N18" s="85"/>
    </row>
    <row r="19" spans="2:14" x14ac:dyDescent="0.25">
      <c r="B19" s="84"/>
      <c r="D19" t="s">
        <v>241</v>
      </c>
      <c r="G19" s="6">
        <f>'Income Statement'!I17</f>
        <v>1579692.9552000002</v>
      </c>
      <c r="H19" s="6">
        <f>'Income Statement'!J17</f>
        <v>2417861.0115292147</v>
      </c>
      <c r="I19" s="6">
        <f>'Income Statement'!K17</f>
        <v>2516197.5212026271</v>
      </c>
      <c r="J19" s="6">
        <f>'Income Statement'!L17</f>
        <v>2677951.7937162872</v>
      </c>
      <c r="K19" s="6">
        <f>'Income Statement'!M17</f>
        <v>2825016.8870602567</v>
      </c>
      <c r="N19" s="85"/>
    </row>
    <row r="20" spans="2:14" x14ac:dyDescent="0.25">
      <c r="B20" s="84"/>
      <c r="D20" t="s">
        <v>212</v>
      </c>
      <c r="G20" s="6">
        <f>'Income Statement'!I21</f>
        <v>1184769.7164000003</v>
      </c>
      <c r="H20" s="6">
        <f>'Income Statement'!J21</f>
        <v>1813395.758646911</v>
      </c>
      <c r="I20" s="6">
        <f>'Income Statement'!K21</f>
        <v>1887148.1409019702</v>
      </c>
      <c r="J20" s="6">
        <f>'Income Statement'!L21</f>
        <v>2008463.8452872154</v>
      </c>
      <c r="K20" s="6">
        <f>'Income Statement'!M21</f>
        <v>2118762.6652951925</v>
      </c>
      <c r="N20" s="85"/>
    </row>
    <row r="21" spans="2:14" x14ac:dyDescent="0.25">
      <c r="B21" s="84"/>
      <c r="N21" s="85"/>
    </row>
    <row r="22" spans="2:14" x14ac:dyDescent="0.25">
      <c r="B22" s="84"/>
      <c r="C22" s="2" t="s">
        <v>98</v>
      </c>
      <c r="N22" s="85"/>
    </row>
    <row r="23" spans="2:14" x14ac:dyDescent="0.25">
      <c r="B23" s="84"/>
      <c r="D23" t="s">
        <v>242</v>
      </c>
      <c r="G23" s="6">
        <f>'Balance Sheet'!I13</f>
        <v>5137794.4752000002</v>
      </c>
      <c r="H23" s="6">
        <f>'Balance Sheet'!J13</f>
        <v>4857530.223765064</v>
      </c>
      <c r="I23" s="6">
        <f>'Balance Sheet'!K13</f>
        <v>4551788.5030583534</v>
      </c>
      <c r="J23" s="6">
        <f>'Balance Sheet'!L13</f>
        <v>4125366.1347838179</v>
      </c>
      <c r="K23" s="6">
        <f>'Balance Sheet'!M13</f>
        <v>3647259.1460713949</v>
      </c>
      <c r="N23" s="85"/>
    </row>
    <row r="24" spans="2:14" x14ac:dyDescent="0.25">
      <c r="B24" s="84"/>
      <c r="D24" t="s">
        <v>102</v>
      </c>
      <c r="G24" s="6">
        <f>'Balance Sheet'!I17</f>
        <v>5184927.5868633986</v>
      </c>
      <c r="H24" s="6">
        <f>'Balance Sheet'!J17</f>
        <v>6704475.691326797</v>
      </c>
      <c r="I24" s="6">
        <f>'Balance Sheet'!K17</f>
        <v>7874889.1330985092</v>
      </c>
      <c r="J24" s="6">
        <f>'Balance Sheet'!L17</f>
        <v>9117307.5422008559</v>
      </c>
      <c r="K24" s="6">
        <f>'Balance Sheet'!M17</f>
        <v>10279904.769977739</v>
      </c>
      <c r="N24" s="85"/>
    </row>
    <row r="25" spans="2:14" x14ac:dyDescent="0.25">
      <c r="B25" s="84"/>
      <c r="D25" t="s">
        <v>243</v>
      </c>
      <c r="G25" s="6">
        <f>'Balance Sheet'!I13+'Balance Sheet'!I17</f>
        <v>10322722.0620634</v>
      </c>
      <c r="H25" s="6">
        <f>'Balance Sheet'!J13+'Balance Sheet'!J17</f>
        <v>11562005.915091861</v>
      </c>
      <c r="I25" s="6">
        <f>'Balance Sheet'!K13+'Balance Sheet'!K17</f>
        <v>12426677.636156863</v>
      </c>
      <c r="J25" s="6">
        <f>'Balance Sheet'!L13+'Balance Sheet'!L17</f>
        <v>13242673.676984673</v>
      </c>
      <c r="K25" s="6">
        <f>'Balance Sheet'!M13+'Balance Sheet'!M17</f>
        <v>13927163.916049134</v>
      </c>
      <c r="N25" s="85"/>
    </row>
    <row r="26" spans="2:14" x14ac:dyDescent="0.25">
      <c r="B26" s="84"/>
      <c r="N26" s="85"/>
    </row>
    <row r="27" spans="2:14" x14ac:dyDescent="0.25">
      <c r="B27" s="84"/>
      <c r="D27" t="s">
        <v>115</v>
      </c>
      <c r="G27" s="23">
        <f>'Balance Sheet'!I33</f>
        <v>6339885.693119999</v>
      </c>
      <c r="H27" s="23">
        <f>'Balance Sheet'!J33</f>
        <v>7790602.3000375284</v>
      </c>
      <c r="I27" s="23">
        <f>'Balance Sheet'!K33</f>
        <v>9300320.8127591051</v>
      </c>
      <c r="J27" s="23">
        <f>'Balance Sheet'!L33</f>
        <v>10907091.888988877</v>
      </c>
      <c r="K27" s="23">
        <f>'Balance Sheet'!M33</f>
        <v>12602102.021225031</v>
      </c>
      <c r="N27" s="85"/>
    </row>
    <row r="28" spans="2:14" x14ac:dyDescent="0.25">
      <c r="B28" s="84"/>
      <c r="D28" t="s">
        <v>244</v>
      </c>
      <c r="G28" s="23">
        <f>'Balance Sheet'!I38</f>
        <v>3156709.1868633982</v>
      </c>
      <c r="H28" s="23">
        <f>'Balance Sheet'!J38</f>
        <v>2609204.0704426463</v>
      </c>
      <c r="I28" s="23">
        <f>'Balance Sheet'!K38</f>
        <v>1924822.6749167065</v>
      </c>
      <c r="J28" s="23">
        <f>'Balance Sheet'!L38</f>
        <v>0</v>
      </c>
      <c r="K28" s="23">
        <f>'Balance Sheet'!M38</f>
        <v>0</v>
      </c>
      <c r="N28" s="85"/>
    </row>
    <row r="29" spans="2:14" x14ac:dyDescent="0.25">
      <c r="B29" s="84"/>
      <c r="D29" t="s">
        <v>105</v>
      </c>
      <c r="G29" s="23">
        <f>'Balance Sheet'!I24</f>
        <v>826127.18208000017</v>
      </c>
      <c r="H29" s="23">
        <f>'Balance Sheet'!J24</f>
        <v>1162199.5446116859</v>
      </c>
      <c r="I29" s="23">
        <f>'Balance Sheet'!K24</f>
        <v>1201534.148481051</v>
      </c>
      <c r="J29" s="23">
        <f>'Balance Sheet'!L24</f>
        <v>2335581.7879957967</v>
      </c>
      <c r="K29" s="23">
        <f>'Balance Sheet'!M24</f>
        <v>1325061.8948241028</v>
      </c>
      <c r="N29" s="85"/>
    </row>
    <row r="30" spans="2:14" x14ac:dyDescent="0.25">
      <c r="B30" s="84"/>
      <c r="D30" t="s">
        <v>245</v>
      </c>
      <c r="G30" s="23">
        <f>'Balance Sheet'!I33+'Balance Sheet'!I38+'Balance Sheet'!I24</f>
        <v>10322722.062063398</v>
      </c>
      <c r="H30" s="23">
        <f>'Balance Sheet'!J33+'Balance Sheet'!J38+'Balance Sheet'!J24</f>
        <v>11562005.915091861</v>
      </c>
      <c r="I30" s="23">
        <f>'Balance Sheet'!K33+'Balance Sheet'!K38+'Balance Sheet'!K24</f>
        <v>12426677.636156863</v>
      </c>
      <c r="J30" s="23">
        <f>'Balance Sheet'!L33+'Balance Sheet'!L38+'Balance Sheet'!L24</f>
        <v>13242673.676984673</v>
      </c>
      <c r="K30" s="23">
        <f>'Balance Sheet'!M33+'Balance Sheet'!M38+'Balance Sheet'!M24</f>
        <v>13927163.916049134</v>
      </c>
      <c r="N30" s="85"/>
    </row>
    <row r="31" spans="2:14" x14ac:dyDescent="0.25">
      <c r="B31" s="84"/>
      <c r="N31" s="85"/>
    </row>
    <row r="32" spans="2:14" x14ac:dyDescent="0.25">
      <c r="B32" s="84"/>
      <c r="C32" s="2" t="s">
        <v>246</v>
      </c>
      <c r="N32" s="85"/>
    </row>
    <row r="33" spans="2:14" x14ac:dyDescent="0.25">
      <c r="B33" s="84"/>
      <c r="D33" t="s">
        <v>247</v>
      </c>
      <c r="G33" s="6">
        <f>'Cashflow Statement'!I18</f>
        <v>2405076.8000000003</v>
      </c>
      <c r="H33" s="6">
        <f>'Cashflow Statement'!J18</f>
        <v>3453235.5208800002</v>
      </c>
      <c r="I33" s="6">
        <f>'Cashflow Statement'!K18</f>
        <v>3314826.0666376962</v>
      </c>
      <c r="J33" s="6">
        <f>'Cashflow Statement'!L18</f>
        <v>3395581.5104193431</v>
      </c>
      <c r="K33" s="6">
        <f>'Cashflow Statement'!M18</f>
        <v>3433523.4699709276</v>
      </c>
      <c r="N33" s="85"/>
    </row>
    <row r="34" spans="2:14" x14ac:dyDescent="0.25">
      <c r="B34" s="84"/>
      <c r="D34" t="s">
        <v>248</v>
      </c>
      <c r="G34" s="6">
        <f>'Cashflow Statement'!I23</f>
        <v>-4870250</v>
      </c>
      <c r="H34" s="6">
        <f>'Cashflow Statement'!J23</f>
        <v>-360051.05999999994</v>
      </c>
      <c r="I34" s="6">
        <f>'Cashflow Statement'!K23</f>
        <v>-445051.05999999994</v>
      </c>
      <c r="J34" s="6">
        <f>'Cashflow Statement'!L23</f>
        <v>-439051.05999999994</v>
      </c>
      <c r="K34" s="6">
        <f>'Cashflow Statement'!M23</f>
        <v>-532551.05999999994</v>
      </c>
      <c r="N34" s="85"/>
    </row>
    <row r="35" spans="2:14" x14ac:dyDescent="0.25">
      <c r="B35" s="84"/>
      <c r="D35" t="s">
        <v>249</v>
      </c>
      <c r="G35" s="6">
        <f>'Cashflow Statement'!I31</f>
        <v>7650100.7868633978</v>
      </c>
      <c r="H35" s="6">
        <f>'Cashflow Statement'!J31</f>
        <v>-1573636.3564166015</v>
      </c>
      <c r="I35" s="6">
        <f>'Cashflow Statement'!K31</f>
        <v>-1699361.5648659836</v>
      </c>
      <c r="J35" s="6">
        <f>'Cashflow Statement'!L31</f>
        <v>-1714112.0413169954</v>
      </c>
      <c r="K35" s="6">
        <f>'Cashflow Statement'!M31</f>
        <v>-1738375.1821940446</v>
      </c>
      <c r="N35" s="85"/>
    </row>
    <row r="36" spans="2:14" x14ac:dyDescent="0.25">
      <c r="B36" s="84"/>
      <c r="D36" t="s">
        <v>250</v>
      </c>
      <c r="G36" s="6">
        <f>'Cashflow Statement'!I35</f>
        <v>5184927.5868633986</v>
      </c>
      <c r="H36" s="6">
        <f>'Cashflow Statement'!J35</f>
        <v>6704475.691326797</v>
      </c>
      <c r="I36" s="6">
        <f>'Cashflow Statement'!K35</f>
        <v>7874889.1330985092</v>
      </c>
      <c r="J36" s="6">
        <f>'Cashflow Statement'!L35</f>
        <v>9117307.5422008559</v>
      </c>
      <c r="K36" s="6">
        <f>'Cashflow Statement'!M35</f>
        <v>10279904.769977739</v>
      </c>
      <c r="N36" s="85"/>
    </row>
    <row r="37" spans="2:14" x14ac:dyDescent="0.25">
      <c r="B37" s="84"/>
      <c r="D37" t="s">
        <v>251</v>
      </c>
      <c r="G37" s="6">
        <f>Valuation!I17</f>
        <v>-3099280.3547999999</v>
      </c>
      <c r="H37" s="6">
        <f>Valuation!J17</f>
        <v>2843378.4419619041</v>
      </c>
      <c r="I37" s="6">
        <f>Valuation!K17</f>
        <v>2812575.8283388102</v>
      </c>
      <c r="J37" s="6">
        <f>Valuation!L17</f>
        <v>2892031.5988544691</v>
      </c>
      <c r="K37" s="6">
        <f>Valuation!M17</f>
        <v>2850839.3125035698</v>
      </c>
      <c r="N37" s="85"/>
    </row>
    <row r="38" spans="2:14" x14ac:dyDescent="0.25">
      <c r="B38" s="84"/>
      <c r="N38" s="85"/>
    </row>
    <row r="39" spans="2:14" x14ac:dyDescent="0.25">
      <c r="B39" s="84"/>
      <c r="C39" s="2" t="s">
        <v>189</v>
      </c>
      <c r="N39" s="85"/>
    </row>
    <row r="40" spans="2:14" x14ac:dyDescent="0.25">
      <c r="B40" s="84"/>
      <c r="D40" t="s">
        <v>252</v>
      </c>
      <c r="G40" s="35">
        <f>'Financial Ratios'!F7</f>
        <v>0.5105474232539321</v>
      </c>
      <c r="H40" s="35">
        <f>'Financial Ratios'!G7</f>
        <v>0.53395760023254346</v>
      </c>
      <c r="I40" s="35">
        <f>'Financial Ratios'!H7</f>
        <v>0.55683088735329156</v>
      </c>
      <c r="J40" s="35">
        <f>'Financial Ratios'!I7</f>
        <v>0.58319554839107357</v>
      </c>
      <c r="K40" s="35">
        <f>'Financial Ratios'!J7</f>
        <v>0.61392560018647524</v>
      </c>
      <c r="N40" s="85"/>
    </row>
    <row r="41" spans="2:14" x14ac:dyDescent="0.25">
      <c r="B41" s="84"/>
      <c r="D41" t="s">
        <v>253</v>
      </c>
      <c r="G41" s="35">
        <f>'Financial Ratios'!F8</f>
        <v>0.26648304253274668</v>
      </c>
      <c r="H41" s="35">
        <f>'Financial Ratios'!G8</f>
        <v>0.39781180992389709</v>
      </c>
      <c r="I41" s="35">
        <f>'Financial Ratios'!H8</f>
        <v>0.41999180645996348</v>
      </c>
      <c r="J41" s="35">
        <f>'Financial Ratios'!I8</f>
        <v>0.45068155961796069</v>
      </c>
      <c r="K41" s="35">
        <f>'Financial Ratios'!J8</f>
        <v>0.48164076640665543</v>
      </c>
      <c r="N41" s="85"/>
    </row>
    <row r="42" spans="2:14" x14ac:dyDescent="0.25">
      <c r="B42" s="84"/>
      <c r="D42" t="s">
        <v>254</v>
      </c>
      <c r="G42" s="35">
        <f>'Financial Ratios'!F9</f>
        <v>0.18724550466545292</v>
      </c>
      <c r="H42" s="35">
        <f>'Financial Ratios'!G9</f>
        <v>0.27884483491144546</v>
      </c>
      <c r="I42" s="35">
        <f>'Financial Ratios'!H9</f>
        <v>0.28628684866974718</v>
      </c>
      <c r="J42" s="35">
        <f>'Financial Ratios'!I9</f>
        <v>0.30065139519284939</v>
      </c>
      <c r="K42" s="35">
        <f>'Financial Ratios'!J9</f>
        <v>0.31301248280782362</v>
      </c>
      <c r="N42" s="85"/>
    </row>
    <row r="43" spans="2:14" x14ac:dyDescent="0.25">
      <c r="B43" s="84"/>
      <c r="D43" t="s">
        <v>264</v>
      </c>
      <c r="G43" s="35">
        <f>'Financial Ratios'!F11</f>
        <v>0.17755144505047557</v>
      </c>
      <c r="H43" s="35">
        <f>'Financial Ratios'!G11</f>
        <v>0.24876106632626385</v>
      </c>
      <c r="I43" s="35">
        <f>'Financial Ratios'!H11</f>
        <v>0.24663432128694288</v>
      </c>
      <c r="J43" s="35">
        <f>'Financial Ratios'!I11</f>
        <v>0.27603338510204506</v>
      </c>
      <c r="K43" s="35">
        <f>'Financial Ratios'!J11</f>
        <v>0.25870266458779423</v>
      </c>
      <c r="N43" s="85"/>
    </row>
    <row r="44" spans="2:14" x14ac:dyDescent="0.25">
      <c r="B44" s="84"/>
      <c r="D44" t="s">
        <v>255</v>
      </c>
      <c r="G44" s="35">
        <f>'Financial Ratios'!F12</f>
        <v>0.11477299391350441</v>
      </c>
      <c r="H44" s="35">
        <f>'Financial Ratios'!G12</f>
        <v>0.15684092984936893</v>
      </c>
      <c r="I44" s="35">
        <f>'Financial Ratios'!H12</f>
        <v>0.15186264552410159</v>
      </c>
      <c r="J44" s="35">
        <f>'Financial Ratios'!I12</f>
        <v>0.15166603771093889</v>
      </c>
      <c r="K44" s="35">
        <f>'Financial Ratios'!J12</f>
        <v>0.1521316671554078</v>
      </c>
      <c r="N44" s="85"/>
    </row>
    <row r="45" spans="2:14" x14ac:dyDescent="0.25">
      <c r="B45" s="84"/>
      <c r="D45" t="s">
        <v>256</v>
      </c>
      <c r="G45" s="35">
        <f>'Financial Ratios'!F22</f>
        <v>0.49791263433803506</v>
      </c>
      <c r="H45" s="35">
        <f>'Financial Ratios'!G22</f>
        <v>0.33491686136129389</v>
      </c>
      <c r="I45" s="35">
        <f>'Financial Ratios'!H22</f>
        <v>0.2069630407024286</v>
      </c>
      <c r="J45" s="35">
        <f>'Financial Ratios'!I22</f>
        <v>9.8041342402994433E-2</v>
      </c>
      <c r="K45" s="35">
        <f>'Financial Ratios'!J22</f>
        <v>0</v>
      </c>
      <c r="N45" s="85"/>
    </row>
    <row r="46" spans="2:14" x14ac:dyDescent="0.25">
      <c r="B46" s="84"/>
      <c r="D46" t="s">
        <v>257</v>
      </c>
      <c r="G46" s="35">
        <f>'Financial Ratios'!F23</f>
        <v>0.61416801256515907</v>
      </c>
      <c r="H46" s="35">
        <f>'Financial Ratios'!G23</f>
        <v>0.67381061359503991</v>
      </c>
      <c r="I46" s="35">
        <f>'Financial Ratios'!H23</f>
        <v>0.74841571376236082</v>
      </c>
      <c r="J46" s="35">
        <f>'Financial Ratios'!I23</f>
        <v>0.82363215729955197</v>
      </c>
      <c r="K46" s="35">
        <f>'Financial Ratios'!J23</f>
        <v>0.90485773680762449</v>
      </c>
      <c r="N46" s="85"/>
    </row>
    <row r="47" spans="2:14" x14ac:dyDescent="0.25">
      <c r="B47" s="84"/>
      <c r="D47" t="s">
        <v>258</v>
      </c>
      <c r="G47" s="35">
        <f>'Financial Ratios'!F24</f>
        <v>0.30580201306247379</v>
      </c>
      <c r="H47" s="35">
        <f>'Financial Ratios'!G24</f>
        <v>0.22567053585717836</v>
      </c>
      <c r="I47" s="35">
        <f>'Financial Ratios'!H24</f>
        <v>0.15489439182973663</v>
      </c>
      <c r="J47" s="35">
        <f>'Financial Ratios'!I24</f>
        <v>8.0750002347922345E-2</v>
      </c>
      <c r="K47" s="35">
        <f>'Financial Ratios'!J24</f>
        <v>0</v>
      </c>
      <c r="N47" s="85"/>
    </row>
    <row r="48" spans="2:14" x14ac:dyDescent="0.25">
      <c r="B48" s="84"/>
      <c r="D48" t="s">
        <v>259</v>
      </c>
      <c r="G48" s="89">
        <f>'Financial Ratios'!F16</f>
        <v>6.2761856761678407</v>
      </c>
      <c r="H48" s="89">
        <f>'Financial Ratios'!G16</f>
        <v>5.768781894994544</v>
      </c>
      <c r="I48" s="89">
        <f>'Financial Ratios'!H16</f>
        <v>6.5540285667733578</v>
      </c>
      <c r="J48" s="89">
        <f>'Financial Ratios'!I16</f>
        <v>3.9036558638456316</v>
      </c>
      <c r="K48" s="89">
        <f>'Financial Ratios'!J16</f>
        <v>7.7580562916590097</v>
      </c>
      <c r="N48" s="85"/>
    </row>
    <row r="49" spans="2:14" x14ac:dyDescent="0.25">
      <c r="B49" s="84"/>
      <c r="D49" t="s">
        <v>260</v>
      </c>
      <c r="G49" s="89">
        <f>'Financial Ratios'!F17</f>
        <v>6.2761856761678407</v>
      </c>
      <c r="H49" s="89">
        <f>'Financial Ratios'!G17</f>
        <v>5.768781894994544</v>
      </c>
      <c r="I49" s="89">
        <f>'Financial Ratios'!H17</f>
        <v>6.5540285667733578</v>
      </c>
      <c r="J49" s="89">
        <f>'Financial Ratios'!I17</f>
        <v>3.9036558638456316</v>
      </c>
      <c r="K49" s="89">
        <f>'Financial Ratios'!J17</f>
        <v>7.7580562916590097</v>
      </c>
      <c r="N49" s="85"/>
    </row>
    <row r="50" spans="2:14" x14ac:dyDescent="0.25">
      <c r="B50" s="84"/>
      <c r="D50" t="s">
        <v>261</v>
      </c>
      <c r="G50" s="89">
        <f>'Financial Ratios'!F18</f>
        <v>6.2761856761678407</v>
      </c>
      <c r="H50" s="89">
        <f>'Financial Ratios'!G18</f>
        <v>5.768781894994544</v>
      </c>
      <c r="I50" s="89">
        <f>'Financial Ratios'!H18</f>
        <v>6.5540285667733578</v>
      </c>
      <c r="J50" s="89">
        <f>'Financial Ratios'!I18</f>
        <v>3.9036558638456316</v>
      </c>
      <c r="K50" s="89">
        <f>'Financial Ratios'!J18</f>
        <v>7.7580562916590097</v>
      </c>
      <c r="N50" s="85"/>
    </row>
    <row r="51" spans="2:14" x14ac:dyDescent="0.25">
      <c r="B51" s="84"/>
      <c r="D51" t="s">
        <v>204</v>
      </c>
      <c r="G51" s="89">
        <f>'Financial Ratios'!F25</f>
        <v>1.8762376998256731</v>
      </c>
      <c r="H51" s="89">
        <f>'Financial Ratios'!G25</f>
        <v>3.2781821436999818</v>
      </c>
      <c r="I51" s="89">
        <f>'Financial Ratios'!H25</f>
        <v>4.2442148190605868</v>
      </c>
      <c r="J51" s="89">
        <f>'Financial Ratios'!I25</f>
        <v>6.2566210071625274</v>
      </c>
      <c r="K51" s="89">
        <f>'Financial Ratios'!J25</f>
        <v>12.195108352805745</v>
      </c>
      <c r="N51" s="85"/>
    </row>
    <row r="52" spans="2:14" x14ac:dyDescent="0.25">
      <c r="B52" s="84"/>
      <c r="G52" s="89">
        <f>'Financial Ratios'!F30</f>
        <v>4358800.4047833979</v>
      </c>
      <c r="H52" s="89">
        <f>'Financial Ratios'!G30</f>
        <v>5542276.1467151111</v>
      </c>
      <c r="I52" s="89">
        <f>'Financial Ratios'!H30</f>
        <v>6673354.9846174587</v>
      </c>
      <c r="J52" s="89">
        <f>'Financial Ratios'!I30</f>
        <v>6781725.7542050593</v>
      </c>
      <c r="K52" s="89">
        <f>'Financial Ratios'!J30</f>
        <v>8954842.8751536366</v>
      </c>
      <c r="N52" s="85"/>
    </row>
    <row r="53" spans="2:14" ht="15.75" thickBot="1" x14ac:dyDescent="0.3">
      <c r="B53" s="90"/>
      <c r="C53" s="56"/>
      <c r="D53" s="56"/>
      <c r="E53" s="56"/>
      <c r="F53" s="56"/>
      <c r="G53" s="56"/>
      <c r="H53" s="56"/>
      <c r="I53" s="56"/>
      <c r="J53" s="56"/>
      <c r="K53" s="56"/>
      <c r="L53" s="56"/>
      <c r="M53" s="56"/>
      <c r="N53" s="91"/>
    </row>
  </sheetData>
  <hyperlinks>
    <hyperlink ref="O1" location="'Table of Content'!A1" display="Back" xr:uid="{66F72A50-4765-4E3A-9179-E090F9BCF32D}"/>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anchor moveWithCells="1">
                  <from>
                    <xdr:col>2</xdr:col>
                    <xdr:colOff>0</xdr:colOff>
                    <xdr:row>0</xdr:row>
                    <xdr:rowOff>0</xdr:rowOff>
                  </from>
                  <to>
                    <xdr:col>3</xdr:col>
                    <xdr:colOff>504825</xdr:colOff>
                    <xdr:row>1</xdr:row>
                    <xdr:rowOff>28575</xdr:rowOff>
                  </to>
                </anchor>
              </controlPr>
            </control>
          </mc:Choice>
        </mc:AlternateContent>
      </controls>
    </mc:Choice>
  </mc:AlternateContent>
  <extLst>
    <ext xmlns:x14="http://schemas.microsoft.com/office/spreadsheetml/2009/9/main" uri="{05C60535-1F16-4fd2-B633-F4F36F0B64E0}">
      <x14:sparklineGroups xmlns:xm="http://schemas.microsoft.com/office/excel/2006/main">
        <x14:sparklineGroup displayEmptyCellsAs="gap" xr2:uid="{4A65A4AE-9374-46C9-9BDF-331A2EAA4E71}">
          <x14:colorSeries rgb="FF376092"/>
          <x14:colorNegative rgb="FFD00000"/>
          <x14:colorAxis rgb="FF000000"/>
          <x14:colorMarkers rgb="FFD00000"/>
          <x14:colorFirst rgb="FFD00000"/>
          <x14:colorLast rgb="FFD00000"/>
          <x14:colorHigh rgb="FFD00000"/>
          <x14:colorLow rgb="FFD00000"/>
          <x14:sparklines>
            <x14:sparkline>
              <xm:f>'Summary Page'!G14:K14</xm:f>
              <xm:sqref>L14</xm:sqref>
            </x14:sparkline>
            <x14:sparkline>
              <xm:f>'Summary Page'!G15:K15</xm:f>
              <xm:sqref>L15</xm:sqref>
            </x14:sparkline>
            <x14:sparkline>
              <xm:f>'Summary Page'!G16:K16</xm:f>
              <xm:sqref>L16</xm:sqref>
            </x14:sparkline>
            <x14:sparkline>
              <xm:f>'Summary Page'!G17:K17</xm:f>
              <xm:sqref>L17</xm:sqref>
            </x14:sparkline>
            <x14:sparkline>
              <xm:f>'Summary Page'!G18:K18</xm:f>
              <xm:sqref>L18</xm:sqref>
            </x14:sparkline>
            <x14:sparkline>
              <xm:f>'Summary Page'!G19:K19</xm:f>
              <xm:sqref>L19</xm:sqref>
            </x14:sparkline>
            <x14:sparkline>
              <xm:f>'Summary Page'!G20:K20</xm:f>
              <xm:sqref>L20</xm:sqref>
            </x14:sparkline>
          </x14:sparklines>
        </x14:sparklineGroup>
        <x14:sparklineGroup displayEmptyCellsAs="gap" xr2:uid="{CCB9E761-722D-44FC-B869-418F8236B5FE}">
          <x14:colorSeries rgb="FF376092"/>
          <x14:colorNegative rgb="FFD00000"/>
          <x14:colorAxis rgb="FF000000"/>
          <x14:colorMarkers rgb="FFD00000"/>
          <x14:colorFirst rgb="FFD00000"/>
          <x14:colorLast rgb="FFD00000"/>
          <x14:colorHigh rgb="FFD00000"/>
          <x14:colorLow rgb="FFD00000"/>
          <x14:sparklines>
            <x14:sparkline>
              <xm:f>'Summary Page'!G23:K23</xm:f>
              <xm:sqref>L23</xm:sqref>
            </x14:sparkline>
            <x14:sparkline>
              <xm:f>'Summary Page'!G24:K24</xm:f>
              <xm:sqref>L24</xm:sqref>
            </x14:sparkline>
            <x14:sparkline>
              <xm:f>'Summary Page'!G25:K25</xm:f>
              <xm:sqref>L25</xm:sqref>
            </x14:sparkline>
            <x14:sparkline>
              <xm:f>'Summary Page'!G26:K26</xm:f>
              <xm:sqref>L26</xm:sqref>
            </x14:sparkline>
            <x14:sparkline>
              <xm:f>'Summary Page'!G27:K27</xm:f>
              <xm:sqref>L27</xm:sqref>
            </x14:sparkline>
            <x14:sparkline>
              <xm:f>'Summary Page'!G28:K28</xm:f>
              <xm:sqref>L28</xm:sqref>
            </x14:sparkline>
            <x14:sparkline>
              <xm:f>'Summary Page'!G29:K29</xm:f>
              <xm:sqref>L29</xm:sqref>
            </x14:sparkline>
            <x14:sparkline>
              <xm:f>'Summary Page'!G30:K30</xm:f>
              <xm:sqref>L30</xm:sqref>
            </x14:sparkline>
          </x14:sparklines>
        </x14:sparklineGroup>
        <x14:sparklineGroup displayEmptyCellsAs="gap" xr2:uid="{3AD67E5D-1E72-4FFB-B045-23BA038E46F1}">
          <x14:colorSeries rgb="FF376092"/>
          <x14:colorNegative rgb="FFD00000"/>
          <x14:colorAxis rgb="FF000000"/>
          <x14:colorMarkers rgb="FFD00000"/>
          <x14:colorFirst rgb="FFD00000"/>
          <x14:colorLast rgb="FFD00000"/>
          <x14:colorHigh rgb="FFD00000"/>
          <x14:colorLow rgb="FFD00000"/>
          <x14:sparklines>
            <x14:sparkline>
              <xm:f>'Summary Page'!G33:K33</xm:f>
              <xm:sqref>L33</xm:sqref>
            </x14:sparkline>
            <x14:sparkline>
              <xm:f>'Summary Page'!G34:K34</xm:f>
              <xm:sqref>L34</xm:sqref>
            </x14:sparkline>
            <x14:sparkline>
              <xm:f>'Summary Page'!G35:K35</xm:f>
              <xm:sqref>L35</xm:sqref>
            </x14:sparkline>
            <x14:sparkline>
              <xm:f>'Summary Page'!G36:K36</xm:f>
              <xm:sqref>L36</xm:sqref>
            </x14:sparkline>
            <x14:sparkline>
              <xm:f>'Summary Page'!G37:K37</xm:f>
              <xm:sqref>L37</xm:sqref>
            </x14:sparkline>
          </x14:sparklines>
        </x14:sparklineGroup>
        <x14:sparklineGroup displayEmptyCellsAs="gap" xr2:uid="{94C97FA0-92CB-481B-BCD9-6422A27CAA9A}">
          <x14:colorSeries rgb="FF376092"/>
          <x14:colorNegative rgb="FFD00000"/>
          <x14:colorAxis rgb="FF000000"/>
          <x14:colorMarkers rgb="FFD00000"/>
          <x14:colorFirst rgb="FFD00000"/>
          <x14:colorLast rgb="FFD00000"/>
          <x14:colorHigh rgb="FFD00000"/>
          <x14:colorLow rgb="FFD00000"/>
          <x14:sparklines>
            <x14:sparkline>
              <xm:f>'Summary Page'!G40:K40</xm:f>
              <xm:sqref>L40</xm:sqref>
            </x14:sparkline>
            <x14:sparkline>
              <xm:f>'Summary Page'!G41:K41</xm:f>
              <xm:sqref>L41</xm:sqref>
            </x14:sparkline>
            <x14:sparkline>
              <xm:f>'Summary Page'!G42:K42</xm:f>
              <xm:sqref>L42</xm:sqref>
            </x14:sparkline>
            <x14:sparkline>
              <xm:f>'Summary Page'!G43:K43</xm:f>
              <xm:sqref>L43</xm:sqref>
            </x14:sparkline>
            <x14:sparkline>
              <xm:f>'Summary Page'!G44:K44</xm:f>
              <xm:sqref>L44</xm:sqref>
            </x14:sparkline>
            <x14:sparkline>
              <xm:f>'Summary Page'!G45:K45</xm:f>
              <xm:sqref>L45</xm:sqref>
            </x14:sparkline>
            <x14:sparkline>
              <xm:f>'Summary Page'!G46:K46</xm:f>
              <xm:sqref>L46</xm:sqref>
            </x14:sparkline>
            <x14:sparkline>
              <xm:f>'Summary Page'!G47:K47</xm:f>
              <xm:sqref>L47</xm:sqref>
            </x14:sparkline>
            <x14:sparkline>
              <xm:f>'Summary Page'!G48:K48</xm:f>
              <xm:sqref>L48</xm:sqref>
            </x14:sparkline>
            <x14:sparkline>
              <xm:f>'Summary Page'!G49:K49</xm:f>
              <xm:sqref>L49</xm:sqref>
            </x14:sparkline>
            <x14:sparkline>
              <xm:f>'Summary Page'!G50:K50</xm:f>
              <xm:sqref>L50</xm:sqref>
            </x14:sparkline>
            <x14:sparkline>
              <xm:f>'Summary Page'!G51:K51</xm:f>
              <xm:sqref>L51</xm:sqref>
            </x14:sparkline>
            <x14:sparkline>
              <xm:f>'Summary Page'!G52:K52</xm:f>
              <xm:sqref>L52</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20D4-BB63-469D-9A8D-109A22E3FF2C}">
  <sheetPr>
    <tabColor theme="2" tint="-0.499984740745262"/>
  </sheetPr>
  <dimension ref="Q1:R1"/>
  <sheetViews>
    <sheetView showGridLines="0" zoomScale="110" zoomScaleNormal="110" workbookViewId="0">
      <selection activeCell="Q4" sqref="Q4"/>
    </sheetView>
  </sheetViews>
  <sheetFormatPr defaultColWidth="8.85546875" defaultRowHeight="15" x14ac:dyDescent="0.25"/>
  <cols>
    <col min="17" max="17" width="11.28515625" bestFit="1" customWidth="1"/>
    <col min="18" max="18" width="10.140625" bestFit="1" customWidth="1"/>
  </cols>
  <sheetData>
    <row r="1" spans="17:18" x14ac:dyDescent="0.25">
      <c r="Q1" s="107" t="s">
        <v>278</v>
      </c>
      <c r="R1" s="106">
        <f ca="1">TODAY()</f>
        <v>45934</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30" r:id="rId3" name="Drop Down 6">
              <controlPr defaultSize="0" autoLine="0" autoPict="0">
                <anchor moveWithCells="1">
                  <from>
                    <xdr:col>13</xdr:col>
                    <xdr:colOff>504825</xdr:colOff>
                    <xdr:row>1</xdr:row>
                    <xdr:rowOff>9525</xdr:rowOff>
                  </from>
                  <to>
                    <xdr:col>15</xdr:col>
                    <xdr:colOff>123825</xdr:colOff>
                    <xdr:row>2</xdr:row>
                    <xdr:rowOff>38100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2AC1-4C3A-4A1E-B826-4665AEC1D078}">
  <sheetPr>
    <tabColor theme="5" tint="0.39997558519241921"/>
  </sheetPr>
  <dimension ref="B1:O100"/>
  <sheetViews>
    <sheetView showGridLines="0" zoomScaleNormal="100" workbookViewId="0">
      <pane ySplit="5" topLeftCell="A21" activePane="bottomLeft" state="frozen"/>
      <selection activeCell="L25" sqref="L25"/>
      <selection pane="bottomLeft" activeCell="H14" sqref="H14"/>
    </sheetView>
  </sheetViews>
  <sheetFormatPr defaultColWidth="8.85546875" defaultRowHeight="15" x14ac:dyDescent="0.25"/>
  <cols>
    <col min="3" max="3" width="7.28515625" customWidth="1"/>
    <col min="4" max="4" width="38.28515625" customWidth="1"/>
    <col min="5" max="5" width="13.28515625" bestFit="1" customWidth="1"/>
    <col min="6" max="6" width="14.42578125" customWidth="1"/>
    <col min="7" max="7" width="10.42578125" bestFit="1" customWidth="1"/>
    <col min="8" max="8" width="11.7109375" bestFit="1" customWidth="1"/>
    <col min="9" max="12" width="11.42578125" bestFit="1" customWidth="1"/>
    <col min="14" max="14" width="11.42578125" bestFit="1" customWidth="1"/>
    <col min="15" max="15" width="10.42578125" bestFit="1" customWidth="1"/>
  </cols>
  <sheetData>
    <row r="1" spans="2:13" x14ac:dyDescent="0.25">
      <c r="B1" s="3" t="s">
        <v>274</v>
      </c>
      <c r="C1">
        <v>2</v>
      </c>
      <c r="K1" s="105" t="s">
        <v>278</v>
      </c>
      <c r="L1" s="106">
        <f ca="1">TODAY()</f>
        <v>45934</v>
      </c>
      <c r="M1" s="104" t="s">
        <v>275</v>
      </c>
    </row>
    <row r="3" spans="2:13" ht="18.75" x14ac:dyDescent="0.3">
      <c r="B3" s="94" t="s">
        <v>55</v>
      </c>
      <c r="C3" s="96"/>
      <c r="D3" s="96"/>
      <c r="E3" s="96"/>
      <c r="F3" s="96"/>
      <c r="G3" s="96"/>
      <c r="H3" s="96"/>
      <c r="I3" s="96"/>
      <c r="J3" s="96"/>
      <c r="K3" s="96"/>
      <c r="L3" s="96"/>
    </row>
    <row r="5" spans="2:13" s="7" customFormat="1" x14ac:dyDescent="0.25">
      <c r="G5" s="8">
        <v>0</v>
      </c>
      <c r="H5" s="9">
        <v>1</v>
      </c>
      <c r="I5" s="10">
        <v>2</v>
      </c>
      <c r="J5" s="11">
        <v>3</v>
      </c>
      <c r="K5" s="12">
        <v>4</v>
      </c>
      <c r="L5" s="13">
        <v>5</v>
      </c>
    </row>
    <row r="6" spans="2:13" x14ac:dyDescent="0.25">
      <c r="C6" t="s">
        <v>0</v>
      </c>
      <c r="H6" s="5">
        <v>12</v>
      </c>
      <c r="I6" s="5">
        <v>12</v>
      </c>
      <c r="J6" s="5">
        <v>12</v>
      </c>
      <c r="K6" s="5">
        <v>12</v>
      </c>
      <c r="L6" s="5">
        <v>12</v>
      </c>
    </row>
    <row r="7" spans="2:13" x14ac:dyDescent="0.25">
      <c r="C7" t="s">
        <v>88</v>
      </c>
      <c r="H7" s="5">
        <v>4</v>
      </c>
      <c r="I7" s="5">
        <v>4</v>
      </c>
      <c r="J7" s="5">
        <v>4</v>
      </c>
      <c r="K7" s="5">
        <v>4</v>
      </c>
      <c r="L7" s="5">
        <v>4</v>
      </c>
    </row>
    <row r="8" spans="2:13" x14ac:dyDescent="0.25">
      <c r="C8" t="s">
        <v>277</v>
      </c>
      <c r="H8" s="69">
        <v>9.3799999999999994E-2</v>
      </c>
      <c r="I8" s="14">
        <v>0.08</v>
      </c>
      <c r="J8" s="14">
        <v>0.08</v>
      </c>
      <c r="K8" s="14">
        <v>0.08</v>
      </c>
      <c r="L8" s="14">
        <v>0.08</v>
      </c>
      <c r="M8" t="s">
        <v>276</v>
      </c>
    </row>
    <row r="11" spans="2:13" x14ac:dyDescent="0.25">
      <c r="D11" t="s">
        <v>1</v>
      </c>
      <c r="E11" s="5">
        <v>50</v>
      </c>
      <c r="F11" s="5" t="s">
        <v>10</v>
      </c>
    </row>
    <row r="12" spans="2:13" x14ac:dyDescent="0.25">
      <c r="D12" t="s">
        <v>2</v>
      </c>
      <c r="E12" s="14">
        <v>0.8</v>
      </c>
    </row>
    <row r="13" spans="2:13" x14ac:dyDescent="0.25">
      <c r="D13" t="s">
        <v>3</v>
      </c>
      <c r="E13" s="14">
        <v>0.2</v>
      </c>
    </row>
    <row r="14" spans="2:13" x14ac:dyDescent="0.25">
      <c r="D14" t="s">
        <v>4</v>
      </c>
      <c r="E14" s="14">
        <v>0.1</v>
      </c>
      <c r="F14" s="5" t="s">
        <v>5</v>
      </c>
    </row>
    <row r="15" spans="2:13" x14ac:dyDescent="0.25">
      <c r="D15" t="s">
        <v>6</v>
      </c>
      <c r="E15" s="29">
        <v>0.04</v>
      </c>
    </row>
    <row r="16" spans="2:13" x14ac:dyDescent="0.25">
      <c r="D16" t="s">
        <v>21</v>
      </c>
      <c r="E16" s="14">
        <v>0.25</v>
      </c>
    </row>
    <row r="18" spans="3:15" x14ac:dyDescent="0.25">
      <c r="C18" s="97" t="s">
        <v>270</v>
      </c>
      <c r="D18" s="97"/>
      <c r="E18" s="98"/>
      <c r="F18" s="98"/>
      <c r="G18" s="98"/>
      <c r="H18" s="98"/>
      <c r="I18" s="98"/>
      <c r="J18" s="98"/>
      <c r="K18" s="98"/>
      <c r="L18" s="98"/>
    </row>
    <row r="20" spans="3:15" x14ac:dyDescent="0.25">
      <c r="D20" t="s">
        <v>271</v>
      </c>
      <c r="E20" s="14">
        <v>1.2</v>
      </c>
    </row>
    <row r="21" spans="3:15" x14ac:dyDescent="0.25">
      <c r="D21" t="s">
        <v>272</v>
      </c>
      <c r="E21" s="14">
        <v>1</v>
      </c>
    </row>
    <row r="22" spans="3:15" x14ac:dyDescent="0.25">
      <c r="D22" t="s">
        <v>273</v>
      </c>
      <c r="E22" s="14">
        <v>0.8</v>
      </c>
    </row>
    <row r="25" spans="3:15" x14ac:dyDescent="0.25">
      <c r="C25" s="97" t="s">
        <v>7</v>
      </c>
      <c r="D25" s="97"/>
      <c r="E25" s="98"/>
      <c r="F25" s="98"/>
      <c r="G25" s="98"/>
      <c r="H25" s="98"/>
      <c r="I25" s="98"/>
      <c r="J25" s="98"/>
      <c r="K25" s="98"/>
      <c r="L25" s="98"/>
    </row>
    <row r="27" spans="3:15" x14ac:dyDescent="0.25">
      <c r="C27" t="s">
        <v>8</v>
      </c>
      <c r="F27" s="15" t="s">
        <v>13</v>
      </c>
      <c r="H27" s="5">
        <v>8</v>
      </c>
      <c r="I27" s="5">
        <v>8</v>
      </c>
      <c r="J27" s="5">
        <v>8</v>
      </c>
      <c r="K27" s="5">
        <v>8</v>
      </c>
      <c r="L27" s="5">
        <v>8</v>
      </c>
    </row>
    <row r="28" spans="3:15" x14ac:dyDescent="0.25">
      <c r="C28" t="s">
        <v>11</v>
      </c>
      <c r="F28" s="15" t="s">
        <v>14</v>
      </c>
      <c r="H28" s="6">
        <v>750000</v>
      </c>
      <c r="I28" s="6">
        <f>H28*(1+(H8-I8))</f>
        <v>760350</v>
      </c>
      <c r="J28" s="6">
        <f>I28*(1+(I8-J8))</f>
        <v>760350</v>
      </c>
      <c r="K28" s="6">
        <f>J28*(1+(J8-K8))</f>
        <v>760350</v>
      </c>
      <c r="L28" s="6">
        <f>K28*(1+(K8-L8))</f>
        <v>760350</v>
      </c>
      <c r="O28" s="17"/>
    </row>
    <row r="29" spans="3:15" x14ac:dyDescent="0.25">
      <c r="O29" s="17"/>
    </row>
    <row r="30" spans="3:15" x14ac:dyDescent="0.25">
      <c r="C30" t="s">
        <v>9</v>
      </c>
      <c r="F30" s="15" t="s">
        <v>13</v>
      </c>
      <c r="H30" s="5">
        <v>2</v>
      </c>
      <c r="I30" s="5">
        <v>4</v>
      </c>
      <c r="J30" s="5">
        <v>6</v>
      </c>
      <c r="K30" s="5">
        <v>8</v>
      </c>
      <c r="L30" s="5">
        <v>10</v>
      </c>
      <c r="O30" s="17"/>
    </row>
    <row r="31" spans="3:15" x14ac:dyDescent="0.25">
      <c r="C31" t="s">
        <v>12</v>
      </c>
      <c r="F31" s="15" t="s">
        <v>14</v>
      </c>
      <c r="H31" s="6">
        <v>42000</v>
      </c>
      <c r="I31" s="6">
        <f>H31*(1+(H8-I8))</f>
        <v>42579.6</v>
      </c>
      <c r="J31" s="6">
        <f t="shared" ref="J31:L31" si="0">I31*(1+(I8-J8))</f>
        <v>42579.6</v>
      </c>
      <c r="K31" s="6">
        <f t="shared" si="0"/>
        <v>42579.6</v>
      </c>
      <c r="L31" s="6">
        <f t="shared" si="0"/>
        <v>42579.6</v>
      </c>
    </row>
    <row r="34" spans="3:15" x14ac:dyDescent="0.25">
      <c r="C34" s="97" t="s">
        <v>15</v>
      </c>
      <c r="D34" s="97"/>
      <c r="E34" s="98"/>
      <c r="F34" s="98"/>
      <c r="G34" s="98"/>
      <c r="H34" s="98"/>
      <c r="I34" s="98"/>
      <c r="J34" s="98"/>
      <c r="K34" s="98"/>
      <c r="L34" s="98"/>
    </row>
    <row r="35" spans="3:15" x14ac:dyDescent="0.25">
      <c r="C35" s="2" t="s">
        <v>19</v>
      </c>
    </row>
    <row r="36" spans="3:15" x14ac:dyDescent="0.25">
      <c r="D36" t="s">
        <v>24</v>
      </c>
      <c r="F36" s="15" t="s">
        <v>13</v>
      </c>
      <c r="H36" s="5">
        <v>8</v>
      </c>
      <c r="I36" s="5">
        <v>8</v>
      </c>
      <c r="J36" s="5">
        <v>8</v>
      </c>
      <c r="K36" s="5">
        <v>8</v>
      </c>
      <c r="L36" s="5">
        <v>8</v>
      </c>
    </row>
    <row r="37" spans="3:15" x14ac:dyDescent="0.25">
      <c r="D37" t="s">
        <v>16</v>
      </c>
      <c r="F37" s="15" t="s">
        <v>14</v>
      </c>
      <c r="H37" s="6">
        <v>185000</v>
      </c>
      <c r="I37" s="6">
        <f>H37*(1+(H8-I8))</f>
        <v>187553</v>
      </c>
      <c r="J37" s="6">
        <f>I37*(1+(I8-J8))</f>
        <v>187553</v>
      </c>
      <c r="K37" s="6">
        <f>J37*(1+(J8-K8))</f>
        <v>187553</v>
      </c>
      <c r="L37" s="6">
        <f>K37*(1+(K8-L8))</f>
        <v>187553</v>
      </c>
    </row>
    <row r="38" spans="3:15" x14ac:dyDescent="0.25">
      <c r="D38" t="s">
        <v>18</v>
      </c>
      <c r="F38" s="16" t="s">
        <v>17</v>
      </c>
      <c r="H38" s="14">
        <v>0.05</v>
      </c>
      <c r="I38" s="14">
        <v>0.05</v>
      </c>
      <c r="J38" s="14">
        <v>0.05</v>
      </c>
      <c r="K38" s="14">
        <v>0.05</v>
      </c>
      <c r="L38" s="14">
        <v>0.05</v>
      </c>
      <c r="N38" s="4"/>
      <c r="O38" s="17"/>
    </row>
    <row r="39" spans="3:15" x14ac:dyDescent="0.25">
      <c r="D39" t="s">
        <v>30</v>
      </c>
      <c r="F39" s="15" t="s">
        <v>54</v>
      </c>
      <c r="H39" s="6">
        <v>1800</v>
      </c>
      <c r="I39" s="6">
        <v>1800</v>
      </c>
      <c r="J39" s="6">
        <v>1800</v>
      </c>
      <c r="K39" s="6">
        <v>1800</v>
      </c>
      <c r="L39" s="6">
        <v>1800</v>
      </c>
      <c r="N39" s="17"/>
    </row>
    <row r="40" spans="3:15" x14ac:dyDescent="0.25">
      <c r="D40" t="s">
        <v>22</v>
      </c>
      <c r="F40" s="15" t="s">
        <v>23</v>
      </c>
      <c r="H40" s="6">
        <v>101200</v>
      </c>
      <c r="I40" s="6">
        <v>101200</v>
      </c>
      <c r="J40" s="6">
        <v>101200</v>
      </c>
      <c r="K40" s="6">
        <v>101200</v>
      </c>
      <c r="L40" s="6">
        <v>101200</v>
      </c>
      <c r="N40" s="17"/>
    </row>
    <row r="41" spans="3:15" x14ac:dyDescent="0.25">
      <c r="F41" s="18"/>
      <c r="H41" s="4"/>
      <c r="I41" s="4"/>
      <c r="J41" s="4"/>
      <c r="K41" s="4"/>
      <c r="L41" s="4"/>
      <c r="N41" s="17"/>
    </row>
    <row r="42" spans="3:15" x14ac:dyDescent="0.25">
      <c r="H42" s="17"/>
    </row>
    <row r="43" spans="3:15" x14ac:dyDescent="0.25">
      <c r="H43" s="17"/>
      <c r="I43" s="17"/>
    </row>
    <row r="45" spans="3:15" x14ac:dyDescent="0.25">
      <c r="C45" s="97" t="s">
        <v>26</v>
      </c>
      <c r="D45" s="97"/>
      <c r="E45" s="98"/>
      <c r="F45" s="98"/>
      <c r="G45" s="98"/>
      <c r="H45" s="98"/>
      <c r="I45" s="98"/>
      <c r="J45" s="98"/>
      <c r="K45" s="98"/>
      <c r="L45" s="98"/>
    </row>
    <row r="47" spans="3:15" x14ac:dyDescent="0.25">
      <c r="C47" t="s">
        <v>146</v>
      </c>
      <c r="F47" s="16" t="s">
        <v>17</v>
      </c>
      <c r="H47" s="14">
        <v>0.08</v>
      </c>
      <c r="I47" s="14">
        <v>0.08</v>
      </c>
      <c r="J47" s="14">
        <v>0.08</v>
      </c>
      <c r="K47" s="14">
        <v>0.08</v>
      </c>
      <c r="L47" s="14">
        <v>0.08</v>
      </c>
    </row>
    <row r="48" spans="3:15" x14ac:dyDescent="0.25">
      <c r="C48" t="s">
        <v>145</v>
      </c>
      <c r="F48" s="16" t="s">
        <v>17</v>
      </c>
      <c r="H48" s="29">
        <v>1.4999999999999999E-2</v>
      </c>
      <c r="I48" s="14">
        <v>0.02</v>
      </c>
      <c r="J48" s="14">
        <v>0.02</v>
      </c>
      <c r="K48" s="14">
        <v>0.02</v>
      </c>
      <c r="L48" s="14">
        <v>0.02</v>
      </c>
    </row>
    <row r="49" spans="3:12" x14ac:dyDescent="0.25">
      <c r="C49" t="s">
        <v>144</v>
      </c>
      <c r="F49" s="16" t="s">
        <v>17</v>
      </c>
      <c r="H49" s="29">
        <v>2.5000000000000001E-2</v>
      </c>
      <c r="I49" s="14">
        <v>0.02</v>
      </c>
      <c r="J49" s="14">
        <v>0.02</v>
      </c>
      <c r="K49" s="29">
        <v>1.4999999999999999E-2</v>
      </c>
      <c r="L49" s="29">
        <v>1.4999999999999999E-2</v>
      </c>
    </row>
    <row r="50" spans="3:12" x14ac:dyDescent="0.25">
      <c r="C50" t="s">
        <v>37</v>
      </c>
      <c r="F50" s="15" t="s">
        <v>38</v>
      </c>
      <c r="H50" s="6">
        <v>5000</v>
      </c>
      <c r="I50" s="6">
        <v>5000</v>
      </c>
      <c r="J50" s="6">
        <v>5500</v>
      </c>
      <c r="K50" s="6">
        <v>6000</v>
      </c>
      <c r="L50" s="6">
        <v>6000</v>
      </c>
    </row>
    <row r="51" spans="3:12" x14ac:dyDescent="0.25">
      <c r="C51" t="s">
        <v>27</v>
      </c>
      <c r="F51" s="15" t="s">
        <v>28</v>
      </c>
      <c r="H51" s="6">
        <v>30000</v>
      </c>
      <c r="I51" s="6">
        <v>30000</v>
      </c>
      <c r="J51" s="6">
        <v>30000</v>
      </c>
      <c r="K51" s="6">
        <v>30000</v>
      </c>
      <c r="L51" s="6">
        <v>30000</v>
      </c>
    </row>
    <row r="52" spans="3:12" x14ac:dyDescent="0.25">
      <c r="C52" t="s">
        <v>25</v>
      </c>
      <c r="F52" s="15" t="s">
        <v>28</v>
      </c>
      <c r="H52" s="6">
        <v>60000</v>
      </c>
      <c r="I52" s="6">
        <v>60000</v>
      </c>
      <c r="J52" s="6">
        <v>60000</v>
      </c>
      <c r="K52" s="6">
        <v>60000</v>
      </c>
      <c r="L52" s="6">
        <v>60000</v>
      </c>
    </row>
    <row r="53" spans="3:12" x14ac:dyDescent="0.25">
      <c r="C53" t="s">
        <v>29</v>
      </c>
      <c r="F53" s="15" t="s">
        <v>28</v>
      </c>
      <c r="H53" s="6">
        <v>15000</v>
      </c>
      <c r="I53" s="6">
        <v>15000</v>
      </c>
      <c r="J53" s="6">
        <v>15000</v>
      </c>
      <c r="K53" s="6">
        <v>15000</v>
      </c>
      <c r="L53" s="6">
        <v>15000</v>
      </c>
    </row>
    <row r="56" spans="3:12" x14ac:dyDescent="0.25">
      <c r="C56" s="97" t="s">
        <v>31</v>
      </c>
      <c r="D56" s="97"/>
      <c r="E56" s="98"/>
      <c r="F56" s="98"/>
      <c r="G56" s="98"/>
      <c r="H56" s="98"/>
      <c r="I56" s="98"/>
      <c r="J56" s="98"/>
      <c r="K56" s="98"/>
      <c r="L56" s="98"/>
    </row>
    <row r="58" spans="3:12" x14ac:dyDescent="0.25">
      <c r="C58" s="2" t="s">
        <v>20</v>
      </c>
    </row>
    <row r="59" spans="3:12" x14ac:dyDescent="0.25">
      <c r="D59" t="s">
        <v>24</v>
      </c>
      <c r="F59" s="15" t="s">
        <v>13</v>
      </c>
      <c r="H59" s="5">
        <v>2</v>
      </c>
      <c r="I59" s="5">
        <v>2</v>
      </c>
      <c r="J59" s="5">
        <v>2</v>
      </c>
      <c r="K59" s="5">
        <v>2</v>
      </c>
      <c r="L59" s="5">
        <v>2</v>
      </c>
    </row>
    <row r="60" spans="3:12" x14ac:dyDescent="0.25">
      <c r="D60" t="s">
        <v>16</v>
      </c>
      <c r="F60" s="15" t="s">
        <v>14</v>
      </c>
      <c r="H60" s="6">
        <v>185000</v>
      </c>
      <c r="I60" s="6">
        <f>H60*(1+(H8-I8))</f>
        <v>187553</v>
      </c>
      <c r="J60" s="6">
        <f t="shared" ref="J60:L60" si="1">I60*(1+(I8-J8))</f>
        <v>187553</v>
      </c>
      <c r="K60" s="6">
        <f t="shared" si="1"/>
        <v>187553</v>
      </c>
      <c r="L60" s="6">
        <f t="shared" si="1"/>
        <v>187553</v>
      </c>
    </row>
    <row r="61" spans="3:12" x14ac:dyDescent="0.25">
      <c r="D61" t="s">
        <v>18</v>
      </c>
      <c r="F61" s="16" t="s">
        <v>17</v>
      </c>
      <c r="H61" s="14">
        <v>0.05</v>
      </c>
      <c r="I61" s="14">
        <v>0.05</v>
      </c>
      <c r="J61" s="14">
        <v>0.05</v>
      </c>
      <c r="K61" s="14">
        <v>0.05</v>
      </c>
      <c r="L61" s="14">
        <v>0.05</v>
      </c>
    </row>
    <row r="64" spans="3:12" x14ac:dyDescent="0.25">
      <c r="C64" s="2" t="s">
        <v>35</v>
      </c>
    </row>
    <row r="65" spans="3:12" x14ac:dyDescent="0.25">
      <c r="D65" t="s">
        <v>32</v>
      </c>
      <c r="H65" s="5">
        <v>6</v>
      </c>
      <c r="I65" s="5">
        <v>6</v>
      </c>
      <c r="J65" s="5">
        <v>5</v>
      </c>
      <c r="K65" s="5">
        <v>7</v>
      </c>
      <c r="L65" s="5">
        <v>7</v>
      </c>
    </row>
    <row r="66" spans="3:12" x14ac:dyDescent="0.25">
      <c r="D66" t="s">
        <v>33</v>
      </c>
      <c r="H66" s="6">
        <v>30000</v>
      </c>
      <c r="I66" s="6">
        <v>30000</v>
      </c>
      <c r="J66" s="6">
        <v>35000</v>
      </c>
      <c r="K66" s="6">
        <v>37000</v>
      </c>
      <c r="L66" s="6">
        <v>37500</v>
      </c>
    </row>
    <row r="67" spans="3:12" x14ac:dyDescent="0.25">
      <c r="D67" t="s">
        <v>34</v>
      </c>
      <c r="E67" s="19">
        <v>4</v>
      </c>
      <c r="F67" s="14">
        <f>1/E67</f>
        <v>0.25</v>
      </c>
      <c r="H67" s="5"/>
      <c r="I67" s="5"/>
      <c r="J67" s="5"/>
      <c r="K67" s="5"/>
      <c r="L67" s="5"/>
    </row>
    <row r="69" spans="3:12" x14ac:dyDescent="0.25">
      <c r="C69" s="2" t="s">
        <v>36</v>
      </c>
    </row>
    <row r="70" spans="3:12" x14ac:dyDescent="0.25">
      <c r="D70" t="s">
        <v>32</v>
      </c>
      <c r="H70" s="5">
        <v>2</v>
      </c>
      <c r="I70" s="5"/>
      <c r="J70" s="5">
        <v>1</v>
      </c>
      <c r="K70" s="5"/>
      <c r="L70" s="5">
        <v>1</v>
      </c>
    </row>
    <row r="71" spans="3:12" x14ac:dyDescent="0.25">
      <c r="D71" t="s">
        <v>33</v>
      </c>
      <c r="H71" s="6">
        <v>85000</v>
      </c>
      <c r="I71" s="6"/>
      <c r="J71" s="6">
        <v>90000</v>
      </c>
      <c r="K71" s="6"/>
      <c r="L71" s="6">
        <v>90000</v>
      </c>
    </row>
    <row r="72" spans="3:12" x14ac:dyDescent="0.25">
      <c r="D72" t="s">
        <v>34</v>
      </c>
      <c r="E72" s="19">
        <v>4</v>
      </c>
      <c r="F72" s="14">
        <f>1/E72</f>
        <v>0.25</v>
      </c>
      <c r="H72" s="5"/>
      <c r="I72" s="5"/>
      <c r="J72" s="5"/>
      <c r="K72" s="5"/>
      <c r="L72" s="5"/>
    </row>
    <row r="75" spans="3:12" x14ac:dyDescent="0.25">
      <c r="C75" s="97" t="s">
        <v>39</v>
      </c>
      <c r="D75" s="97"/>
      <c r="E75" s="98"/>
      <c r="F75" s="98"/>
      <c r="G75" s="98"/>
      <c r="H75" s="98"/>
      <c r="I75" s="98"/>
      <c r="J75" s="98"/>
      <c r="K75" s="98"/>
      <c r="L75" s="98"/>
    </row>
    <row r="77" spans="3:12" x14ac:dyDescent="0.25">
      <c r="D77" t="s">
        <v>40</v>
      </c>
      <c r="E77" s="27">
        <v>60000</v>
      </c>
    </row>
    <row r="78" spans="3:12" x14ac:dyDescent="0.25">
      <c r="D78" t="s">
        <v>53</v>
      </c>
      <c r="E78" s="4">
        <v>5000000</v>
      </c>
    </row>
    <row r="79" spans="3:12" x14ac:dyDescent="0.25">
      <c r="D79" t="s">
        <v>41</v>
      </c>
      <c r="E79" s="27">
        <v>200000</v>
      </c>
      <c r="G79" s="17"/>
    </row>
    <row r="80" spans="3:12" x14ac:dyDescent="0.25">
      <c r="D80" t="s">
        <v>42</v>
      </c>
      <c r="E80" s="27">
        <v>100000</v>
      </c>
      <c r="F80" s="27"/>
      <c r="H80" s="17"/>
      <c r="I80" s="22"/>
    </row>
    <row r="81" spans="3:12" x14ac:dyDescent="0.25">
      <c r="D81" t="s">
        <v>43</v>
      </c>
      <c r="E81" s="4">
        <v>90000</v>
      </c>
    </row>
    <row r="82" spans="3:12" x14ac:dyDescent="0.25">
      <c r="D82" t="s">
        <v>44</v>
      </c>
      <c r="E82" s="27">
        <v>180000</v>
      </c>
    </row>
    <row r="83" spans="3:12" ht="15.75" thickBot="1" x14ac:dyDescent="0.3">
      <c r="D83" t="s">
        <v>45</v>
      </c>
      <c r="E83" s="27">
        <v>200000</v>
      </c>
    </row>
    <row r="84" spans="3:12" ht="15.75" thickBot="1" x14ac:dyDescent="0.3">
      <c r="E84" s="20">
        <f>SUM(E77:E83)</f>
        <v>5830000</v>
      </c>
      <c r="H84" s="22"/>
    </row>
    <row r="86" spans="3:12" x14ac:dyDescent="0.25">
      <c r="C86" s="97" t="s">
        <v>46</v>
      </c>
      <c r="D86" s="97"/>
      <c r="E86" s="98"/>
      <c r="F86" s="98"/>
      <c r="G86" s="98"/>
      <c r="H86" s="98"/>
      <c r="I86" s="98"/>
      <c r="J86" s="98"/>
      <c r="K86" s="98"/>
      <c r="L86" s="98"/>
    </row>
    <row r="88" spans="3:12" x14ac:dyDescent="0.25">
      <c r="D88" t="s">
        <v>47</v>
      </c>
      <c r="E88" s="1">
        <v>0.6</v>
      </c>
    </row>
    <row r="89" spans="3:12" ht="15.75" thickBot="1" x14ac:dyDescent="0.3">
      <c r="D89" t="s">
        <v>48</v>
      </c>
      <c r="E89" s="1">
        <v>0.4</v>
      </c>
    </row>
    <row r="90" spans="3:12" ht="15.75" thickBot="1" x14ac:dyDescent="0.3">
      <c r="D90" t="s">
        <v>49</v>
      </c>
      <c r="E90" s="21">
        <f>SUM(E88:E89)</f>
        <v>1</v>
      </c>
    </row>
    <row r="93" spans="3:12" x14ac:dyDescent="0.25">
      <c r="D93" s="2"/>
    </row>
    <row r="94" spans="3:12" x14ac:dyDescent="0.25">
      <c r="D94" t="s">
        <v>51</v>
      </c>
      <c r="E94" s="14">
        <v>0.2</v>
      </c>
    </row>
    <row r="96" spans="3:12" x14ac:dyDescent="0.25">
      <c r="D96" s="2" t="s">
        <v>52</v>
      </c>
    </row>
    <row r="97" spans="4:8" x14ac:dyDescent="0.25">
      <c r="D97" t="s">
        <v>78</v>
      </c>
      <c r="E97" s="6">
        <f>Workings!I88</f>
        <v>3594713.28</v>
      </c>
      <c r="H97" t="s">
        <v>285</v>
      </c>
    </row>
    <row r="98" spans="4:8" x14ac:dyDescent="0.25">
      <c r="D98" t="s">
        <v>79</v>
      </c>
      <c r="E98" s="14">
        <v>0.25</v>
      </c>
      <c r="F98" t="s">
        <v>284</v>
      </c>
    </row>
    <row r="99" spans="4:8" x14ac:dyDescent="0.25">
      <c r="D99" t="s">
        <v>77</v>
      </c>
      <c r="E99" s="19">
        <v>5</v>
      </c>
    </row>
    <row r="100" spans="4:8" x14ac:dyDescent="0.25">
      <c r="D100" t="s">
        <v>186</v>
      </c>
      <c r="E100" s="29">
        <v>3.9E-2</v>
      </c>
      <c r="F100" t="s">
        <v>286</v>
      </c>
    </row>
  </sheetData>
  <hyperlinks>
    <hyperlink ref="M1" location="'Table of Content'!A1" display="Back" xr:uid="{D90FA483-268F-4400-9349-C65DF4663A74}"/>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anchor moveWithCells="1">
                  <from>
                    <xdr:col>1</xdr:col>
                    <xdr:colOff>600075</xdr:colOff>
                    <xdr:row>0</xdr:row>
                    <xdr:rowOff>0</xdr:rowOff>
                  </from>
                  <to>
                    <xdr:col>3</xdr:col>
                    <xdr:colOff>342900</xdr:colOff>
                    <xdr:row>1</xdr:row>
                    <xdr:rowOff>47625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40C0B-818B-40EC-914E-C17CB600106E}">
  <sheetPr>
    <tabColor theme="2" tint="-0.499984740745262"/>
  </sheetPr>
  <dimension ref="B1:N143"/>
  <sheetViews>
    <sheetView showGridLines="0" zoomScaleNormal="100" workbookViewId="0">
      <pane ySplit="4" topLeftCell="A42" activePane="bottomLeft" state="frozen"/>
      <selection activeCell="L25" sqref="L25"/>
      <selection pane="bottomLeft" activeCell="E144" sqref="E144"/>
    </sheetView>
  </sheetViews>
  <sheetFormatPr defaultColWidth="8.85546875" defaultRowHeight="15" x14ac:dyDescent="0.25"/>
  <cols>
    <col min="2" max="2" width="9.42578125" customWidth="1"/>
    <col min="3" max="3" width="9.7109375" customWidth="1"/>
    <col min="4" max="4" width="14.85546875" customWidth="1"/>
    <col min="5" max="5" width="9.85546875" bestFit="1" customWidth="1"/>
    <col min="6" max="6" width="11.42578125" bestFit="1" customWidth="1"/>
    <col min="7" max="7" width="13" customWidth="1"/>
    <col min="8" max="8" width="13.85546875" customWidth="1"/>
    <col min="9" max="9" width="15.28515625" bestFit="1" customWidth="1"/>
    <col min="10" max="13" width="13.28515625" bestFit="1" customWidth="1"/>
  </cols>
  <sheetData>
    <row r="1" spans="2:14" x14ac:dyDescent="0.25">
      <c r="B1" s="3" t="s">
        <v>274</v>
      </c>
      <c r="L1" s="105" t="s">
        <v>278</v>
      </c>
      <c r="M1" s="106">
        <f ca="1">TODAY()</f>
        <v>45934</v>
      </c>
      <c r="N1" s="104" t="s">
        <v>275</v>
      </c>
    </row>
    <row r="3" spans="2:14" ht="18.75" x14ac:dyDescent="0.3">
      <c r="B3" s="94" t="s">
        <v>56</v>
      </c>
      <c r="C3" s="95"/>
      <c r="D3" s="95"/>
      <c r="E3" s="95"/>
      <c r="F3" s="95"/>
      <c r="G3" s="95"/>
      <c r="H3" s="95"/>
      <c r="I3" s="95"/>
      <c r="J3" s="95"/>
      <c r="K3" s="95"/>
      <c r="L3" s="95"/>
      <c r="M3" s="95"/>
    </row>
    <row r="4" spans="2:14" x14ac:dyDescent="0.25">
      <c r="H4" s="8">
        <v>0</v>
      </c>
      <c r="I4" s="9">
        <v>1</v>
      </c>
      <c r="J4" s="10">
        <v>2</v>
      </c>
      <c r="K4" s="11">
        <v>3</v>
      </c>
      <c r="L4" s="12">
        <v>4</v>
      </c>
      <c r="M4" s="13">
        <v>5</v>
      </c>
    </row>
    <row r="5" spans="2:14" x14ac:dyDescent="0.25">
      <c r="B5" s="97" t="s">
        <v>57</v>
      </c>
      <c r="C5" s="98"/>
      <c r="D5" s="98"/>
      <c r="E5" s="98"/>
      <c r="F5" s="98"/>
      <c r="G5" s="98"/>
      <c r="H5" s="98"/>
      <c r="I5" s="98"/>
      <c r="J5" s="98"/>
      <c r="K5" s="98"/>
      <c r="L5" s="98"/>
      <c r="M5" s="98"/>
    </row>
    <row r="7" spans="2:14" x14ac:dyDescent="0.25">
      <c r="B7" t="s">
        <v>8</v>
      </c>
      <c r="I7" s="6" cm="1">
        <f t="array" ref="I7">INDEX(Assumptions!$E$20:$E$22,Assumptions!$C$1)*(Assumptions!H27*Assumptions!H28)</f>
        <v>6000000</v>
      </c>
      <c r="J7" s="6" cm="1">
        <f t="array" ref="J7">INDEX(Assumptions!$E$20:$E$22,Assumptions!$C$1)*(Assumptions!I27*Assumptions!I28)</f>
        <v>6082800</v>
      </c>
      <c r="K7" s="6" cm="1">
        <f t="array" ref="K7">INDEX(Assumptions!$E$20:$E$22,Assumptions!$C$1)*(Assumptions!J27*Assumptions!J28)</f>
        <v>6082800</v>
      </c>
      <c r="L7" s="6" cm="1">
        <f t="array" ref="L7">INDEX(Assumptions!$E$20:$E$22,Assumptions!$C$1)*(Assumptions!K27*Assumptions!K28)</f>
        <v>6082800</v>
      </c>
      <c r="M7" s="6" cm="1">
        <f t="array" ref="M7">INDEX(Assumptions!$E$20:$E$22,Assumptions!$C$1)*(Assumptions!L27*Assumptions!L28)</f>
        <v>6082800</v>
      </c>
    </row>
    <row r="8" spans="2:14" x14ac:dyDescent="0.25">
      <c r="B8" t="s">
        <v>9</v>
      </c>
      <c r="I8" s="6" cm="1">
        <f t="array" ref="I8">INDEX(Assumptions!$E$20:$E$22,Assumptions!$C$1)*(Assumptions!H30*Assumptions!H31)</f>
        <v>84000</v>
      </c>
      <c r="J8" s="6" cm="1">
        <f t="array" ref="J8">INDEX(Assumptions!$E$20:$E$22,Assumptions!$C$1)*(Assumptions!I30*Assumptions!I31)</f>
        <v>170318.4</v>
      </c>
      <c r="K8" s="6" cm="1">
        <f t="array" ref="K8">INDEX(Assumptions!$E$20:$E$22,Assumptions!$C$1)*(Assumptions!J30*Assumptions!J31)</f>
        <v>255477.59999999998</v>
      </c>
      <c r="L8" s="6" cm="1">
        <f t="array" ref="L8">INDEX(Assumptions!$E$20:$E$22,Assumptions!$C$1)*(Assumptions!K30*Assumptions!K31)</f>
        <v>340636.8</v>
      </c>
      <c r="M8" s="6" cm="1">
        <f t="array" ref="M8">INDEX(Assumptions!$E$20:$E$22,Assumptions!$C$1)*(Assumptions!L30*Assumptions!L31)</f>
        <v>425796</v>
      </c>
    </row>
    <row r="9" spans="2:14" ht="15.75" thickBot="1" x14ac:dyDescent="0.3">
      <c r="I9" s="40">
        <f>SUM(I7:I8)</f>
        <v>6084000</v>
      </c>
      <c r="J9" s="40">
        <f t="shared" ref="J9:M9" si="0">SUM(J7:J8)</f>
        <v>6253118.4000000004</v>
      </c>
      <c r="K9" s="40">
        <f t="shared" si="0"/>
        <v>6338277.5999999996</v>
      </c>
      <c r="L9" s="40">
        <f t="shared" si="0"/>
        <v>6423436.7999999998</v>
      </c>
      <c r="M9" s="40">
        <f t="shared" si="0"/>
        <v>6508596</v>
      </c>
    </row>
    <row r="10" spans="2:14" ht="15.75" thickTop="1" x14ac:dyDescent="0.25">
      <c r="I10" s="17"/>
      <c r="J10" s="17"/>
      <c r="K10" s="17"/>
      <c r="L10" s="17"/>
      <c r="M10" s="17"/>
    </row>
    <row r="11" spans="2:14" x14ac:dyDescent="0.25">
      <c r="B11" t="s">
        <v>108</v>
      </c>
      <c r="I11" s="41" cm="1">
        <f t="array" ref="I11">INDEX(Assumptions!$E$20:$E$22,Assumptions!$C$1)*(I9*Assumptions!$E$15)</f>
        <v>243360</v>
      </c>
      <c r="J11" s="41" cm="1">
        <f t="array" ref="J11">INDEX(Assumptions!$E$20:$E$22,Assumptions!$C$1)*(J9*Assumptions!$E$15)</f>
        <v>250124.73600000003</v>
      </c>
      <c r="K11" s="41" cm="1">
        <f t="array" ref="K11">INDEX(Assumptions!$E$20:$E$22,Assumptions!$C$1)*(K9*Assumptions!$E$15)</f>
        <v>253531.10399999999</v>
      </c>
      <c r="L11" s="41" cm="1">
        <f t="array" ref="L11">INDEX(Assumptions!$E$20:$E$22,Assumptions!$C$1)*(L9*Assumptions!$E$15)</f>
        <v>256937.47200000001</v>
      </c>
      <c r="M11" s="41" cm="1">
        <f t="array" ref="M11">INDEX(Assumptions!$E$20:$E$22,Assumptions!$C$1)*(M9*Assumptions!$E$15)</f>
        <v>260343.84</v>
      </c>
    </row>
    <row r="12" spans="2:14" ht="15.75" thickBot="1" x14ac:dyDescent="0.3">
      <c r="I12" s="17"/>
      <c r="J12" s="17"/>
      <c r="K12" s="17"/>
      <c r="L12" s="17"/>
      <c r="M12" s="17"/>
    </row>
    <row r="13" spans="2:14" ht="15.75" thickBot="1" x14ac:dyDescent="0.3">
      <c r="B13" t="s">
        <v>143</v>
      </c>
      <c r="I13" s="58">
        <f>I9+I11</f>
        <v>6327360</v>
      </c>
      <c r="J13" s="58">
        <f t="shared" ref="J13:M13" si="1">J9+J11</f>
        <v>6503243.1359999999</v>
      </c>
      <c r="K13" s="58">
        <f t="shared" si="1"/>
        <v>6591808.7039999999</v>
      </c>
      <c r="L13" s="58">
        <f t="shared" si="1"/>
        <v>6680374.2719999999</v>
      </c>
      <c r="M13" s="58">
        <f t="shared" si="1"/>
        <v>6768939.8399999999</v>
      </c>
    </row>
    <row r="14" spans="2:14" ht="15.75" thickTop="1" x14ac:dyDescent="0.25"/>
    <row r="15" spans="2:14" x14ac:dyDescent="0.25">
      <c r="B15" s="97" t="s">
        <v>58</v>
      </c>
      <c r="C15" s="98"/>
      <c r="D15" s="98"/>
      <c r="E15" s="98"/>
      <c r="F15" s="98"/>
      <c r="G15" s="98"/>
      <c r="H15" s="98"/>
      <c r="I15" s="98"/>
      <c r="J15" s="98"/>
      <c r="K15" s="98"/>
      <c r="L15" s="98"/>
      <c r="M15" s="98"/>
    </row>
    <row r="17" spans="2:13" x14ac:dyDescent="0.25">
      <c r="B17" t="s">
        <v>8</v>
      </c>
      <c r="I17" s="6" cm="1">
        <f t="array" ref="I17">INDEX(Assumptions!$E$20:$E$22,Assumptions!$C$1)*((Assumptions!H36*Assumptions!H37)+(Assumptions!H36*Assumptions!H37)*Assumptions!H38)</f>
        <v>1554000</v>
      </c>
      <c r="J17" s="6" cm="1">
        <f t="array" ref="J17">INDEX(Assumptions!$E$20:$E$22,Assumptions!$C$1)*((Assumptions!I36*Assumptions!I37)+(Assumptions!I36*Assumptions!I37)*Assumptions!I38)</f>
        <v>1575445.2</v>
      </c>
      <c r="K17" s="6" cm="1">
        <f t="array" ref="K17">INDEX(Assumptions!$E$20:$E$22,Assumptions!$C$1)*((Assumptions!J36*Assumptions!J37)+(Assumptions!J36*Assumptions!J37)*Assumptions!J38)</f>
        <v>1575445.2</v>
      </c>
      <c r="L17" s="6" cm="1">
        <f t="array" ref="L17">INDEX(Assumptions!$E$20:$E$22,Assumptions!$C$1)*((Assumptions!K36*Assumptions!K37)+(Assumptions!K36*Assumptions!K37)*Assumptions!K38)</f>
        <v>1575445.2</v>
      </c>
      <c r="M17" s="6" cm="1">
        <f t="array" ref="M17">INDEX(Assumptions!$E$20:$E$22,Assumptions!$C$1)*((Assumptions!L36*Assumptions!L37)+(Assumptions!L36*Assumptions!L37)*Assumptions!L38)</f>
        <v>1575445.2</v>
      </c>
    </row>
    <row r="18" spans="2:13" x14ac:dyDescent="0.25">
      <c r="B18" t="s">
        <v>85</v>
      </c>
      <c r="I18" s="32">
        <f>$F101*Assumptions!$E$12</f>
        <v>718942.65599999996</v>
      </c>
      <c r="J18" s="32">
        <f>$F102*Assumptions!$E$12</f>
        <v>631341.83737267973</v>
      </c>
      <c r="K18" s="32">
        <f>$F103*Assumptions!$E$12</f>
        <v>521840.81408852927</v>
      </c>
      <c r="L18" s="32">
        <f>$F104*Assumptions!$E$12</f>
        <v>384964.53498334135</v>
      </c>
      <c r="M18" s="32">
        <f>$F105*Assumptions!$E$12</f>
        <v>213869.18610185638</v>
      </c>
    </row>
    <row r="19" spans="2:13" ht="15.75" thickBot="1" x14ac:dyDescent="0.3">
      <c r="B19" t="s">
        <v>141</v>
      </c>
      <c r="I19" s="53">
        <f>I39</f>
        <v>824000</v>
      </c>
      <c r="J19" s="53">
        <f t="shared" ref="J19:M19" si="2">J39</f>
        <v>824000</v>
      </c>
      <c r="K19" s="53">
        <f t="shared" si="2"/>
        <v>824000</v>
      </c>
      <c r="L19" s="53">
        <f t="shared" si="2"/>
        <v>824000</v>
      </c>
      <c r="M19" s="53">
        <f t="shared" si="2"/>
        <v>824000</v>
      </c>
    </row>
    <row r="20" spans="2:13" ht="15.75" thickBot="1" x14ac:dyDescent="0.3">
      <c r="F20" s="17"/>
      <c r="I20" s="36">
        <f>SUM(I17:I19)</f>
        <v>3096942.656</v>
      </c>
      <c r="J20" s="36">
        <f>SUM(J17:J19)</f>
        <v>3030787.0373726794</v>
      </c>
      <c r="K20" s="36">
        <f t="shared" ref="K20:M20" si="3">SUM(K17:K19)</f>
        <v>2921286.0140885292</v>
      </c>
      <c r="L20" s="36">
        <f t="shared" si="3"/>
        <v>2784409.7349833413</v>
      </c>
      <c r="M20" s="36">
        <f t="shared" si="3"/>
        <v>2613314.3861018564</v>
      </c>
    </row>
    <row r="24" spans="2:13" x14ac:dyDescent="0.25">
      <c r="B24" s="97" t="s">
        <v>87</v>
      </c>
      <c r="C24" s="98"/>
      <c r="D24" s="98"/>
      <c r="E24" s="98"/>
      <c r="F24" s="98"/>
      <c r="G24" s="98"/>
      <c r="H24" s="98"/>
      <c r="I24" s="98"/>
      <c r="J24" s="98"/>
      <c r="K24" s="98"/>
      <c r="L24" s="98"/>
      <c r="M24" s="98"/>
    </row>
    <row r="26" spans="2:13" x14ac:dyDescent="0.25">
      <c r="B26" t="s">
        <v>146</v>
      </c>
      <c r="I26" s="6">
        <f>Assumptions!H47*Workings!I13</f>
        <v>506188.79999999999</v>
      </c>
      <c r="J26" s="6">
        <f>Assumptions!I47*Workings!J13</f>
        <v>520259.45088000002</v>
      </c>
      <c r="K26" s="6">
        <f>Assumptions!J47*Workings!K13</f>
        <v>527344.69631999999</v>
      </c>
      <c r="L26" s="6">
        <f>Assumptions!K47*Workings!L13</f>
        <v>534429.94175999996</v>
      </c>
      <c r="M26" s="6">
        <f>Assumptions!L47*Workings!M13</f>
        <v>541515.18720000004</v>
      </c>
    </row>
    <row r="27" spans="2:13" x14ac:dyDescent="0.25">
      <c r="B27" t="s">
        <v>147</v>
      </c>
      <c r="I27" s="41">
        <f>I13*Assumptions!H48</f>
        <v>94910.399999999994</v>
      </c>
      <c r="J27" s="41">
        <f>J13*Assumptions!I48</f>
        <v>130064.86272</v>
      </c>
      <c r="K27" s="41">
        <f>K13*Assumptions!J48</f>
        <v>131836.17408</v>
      </c>
      <c r="L27" s="41">
        <f>L13*Assumptions!K48</f>
        <v>133607.48543999999</v>
      </c>
      <c r="M27" s="41">
        <f>M13*Assumptions!L48</f>
        <v>135378.79680000001</v>
      </c>
    </row>
    <row r="28" spans="2:13" x14ac:dyDescent="0.25">
      <c r="B28" t="s">
        <v>148</v>
      </c>
      <c r="I28" s="6">
        <f>Assumptions!H49*Workings!I13</f>
        <v>158184</v>
      </c>
      <c r="J28" s="6">
        <f>Assumptions!I49*Workings!J13</f>
        <v>130064.86272</v>
      </c>
      <c r="K28" s="6">
        <f>Assumptions!J49*Workings!K13</f>
        <v>131836.17408</v>
      </c>
      <c r="L28" s="6">
        <f>Assumptions!K49*Workings!L13</f>
        <v>100205.61408</v>
      </c>
      <c r="M28" s="6">
        <f>Assumptions!L49*Workings!M13</f>
        <v>101534.09759999999</v>
      </c>
    </row>
    <row r="29" spans="2:13" x14ac:dyDescent="0.25">
      <c r="B29" t="s">
        <v>37</v>
      </c>
      <c r="I29" s="6" cm="1">
        <f t="array" ref="I29">INDEX(Assumptions!$E$20:$E$22,Assumptions!$C$1)*(Assumptions!H50*Assumptions!H6)</f>
        <v>60000</v>
      </c>
      <c r="J29" s="6" cm="1">
        <f t="array" ref="J29">INDEX(Assumptions!$E$20:$E$22,Assumptions!$C$1)*(Assumptions!I50*Assumptions!I6)</f>
        <v>60000</v>
      </c>
      <c r="K29" s="6" cm="1">
        <f t="array" ref="K29">INDEX(Assumptions!$E$20:$E$22,Assumptions!$C$1)*(Assumptions!J50*Assumptions!J6)</f>
        <v>66000</v>
      </c>
      <c r="L29" s="6" cm="1">
        <f t="array" ref="L29">INDEX(Assumptions!$E$20:$E$22,Assumptions!$C$1)*(Assumptions!K50*Assumptions!K6)</f>
        <v>72000</v>
      </c>
      <c r="M29" s="6" cm="1">
        <f t="array" ref="M29">INDEX(Assumptions!$E$20:$E$22,Assumptions!$C$1)*(Assumptions!L50*Assumptions!L6)</f>
        <v>72000</v>
      </c>
    </row>
    <row r="30" spans="2:13" x14ac:dyDescent="0.25">
      <c r="B30" t="s">
        <v>27</v>
      </c>
      <c r="I30" s="6">
        <f>Assumptions!H51</f>
        <v>30000</v>
      </c>
      <c r="J30" s="6">
        <f>Assumptions!I51</f>
        <v>30000</v>
      </c>
      <c r="K30" s="6">
        <f>Assumptions!J51</f>
        <v>30000</v>
      </c>
      <c r="L30" s="6">
        <f>Assumptions!K51</f>
        <v>30000</v>
      </c>
      <c r="M30" s="6">
        <f>Assumptions!L51</f>
        <v>30000</v>
      </c>
    </row>
    <row r="31" spans="2:13" x14ac:dyDescent="0.25">
      <c r="B31" t="s">
        <v>29</v>
      </c>
      <c r="I31" s="6">
        <f>Assumptions!H53</f>
        <v>15000</v>
      </c>
      <c r="J31" s="6">
        <f>Assumptions!I53</f>
        <v>15000</v>
      </c>
      <c r="K31" s="6">
        <f>Assumptions!J53</f>
        <v>15000</v>
      </c>
      <c r="L31" s="6">
        <f>Assumptions!K53</f>
        <v>15000</v>
      </c>
      <c r="M31" s="6">
        <f>Assumptions!L53</f>
        <v>15000</v>
      </c>
    </row>
    <row r="32" spans="2:13" x14ac:dyDescent="0.25">
      <c r="B32" t="s">
        <v>59</v>
      </c>
      <c r="I32" s="24" cm="1">
        <f t="array" ref="I32">INDEX(Assumptions!$E$20:$E$22,Assumptions!$C$1)*(SUM(Assumptions!E79,Assumptions!E80,Assumptions!E82,Assumptions!E83))</f>
        <v>680000</v>
      </c>
      <c r="J32" s="5"/>
      <c r="K32" s="5"/>
      <c r="L32" s="5"/>
      <c r="M32" s="5"/>
    </row>
    <row r="33" spans="2:13" ht="15.75" thickBot="1" x14ac:dyDescent="0.3">
      <c r="I33" s="28">
        <f>SUM(I26:I32)</f>
        <v>1544283.2</v>
      </c>
      <c r="J33" s="28">
        <f t="shared" ref="J33:M33" si="4">SUM(J26:J32)</f>
        <v>885389.17631999997</v>
      </c>
      <c r="K33" s="28">
        <f t="shared" si="4"/>
        <v>902017.04448000004</v>
      </c>
      <c r="L33" s="28">
        <f t="shared" si="4"/>
        <v>885243.04127999989</v>
      </c>
      <c r="M33" s="28">
        <f t="shared" si="4"/>
        <v>895428.08160000003</v>
      </c>
    </row>
    <row r="34" spans="2:13" ht="15.75" thickTop="1" x14ac:dyDescent="0.25"/>
    <row r="36" spans="2:13" x14ac:dyDescent="0.25">
      <c r="B36" s="97" t="s">
        <v>31</v>
      </c>
      <c r="C36" s="98"/>
      <c r="D36" s="98"/>
      <c r="E36" s="98"/>
      <c r="F36" s="98"/>
      <c r="G36" s="98"/>
      <c r="H36" s="98"/>
      <c r="I36" s="98"/>
      <c r="J36" s="98"/>
      <c r="K36" s="98"/>
      <c r="L36" s="98"/>
      <c r="M36" s="98"/>
    </row>
    <row r="38" spans="2:13" x14ac:dyDescent="0.25">
      <c r="B38" s="2" t="s">
        <v>138</v>
      </c>
    </row>
    <row r="39" spans="2:13" x14ac:dyDescent="0.25">
      <c r="C39" t="s">
        <v>139</v>
      </c>
      <c r="G39" s="64" t="s">
        <v>14</v>
      </c>
      <c r="I39" s="6" cm="1">
        <f t="array" ref="I39">INDEX(Assumptions!$E$20:$E$22,Assumptions!$C$1)*((Assumptions!H36*Assumptions!H39)+(Assumptions!H36*Assumptions!H40))</f>
        <v>824000</v>
      </c>
      <c r="J39" s="6" cm="1">
        <f t="array" ref="J39">INDEX(Assumptions!$E$20:$E$22,Assumptions!$C$1)*((Assumptions!I36*Assumptions!I39)+(Assumptions!I36*Assumptions!I40))</f>
        <v>824000</v>
      </c>
      <c r="K39" s="6" cm="1">
        <f t="array" ref="K39">INDEX(Assumptions!$E$20:$E$22,Assumptions!$C$1)*((Assumptions!J36*Assumptions!J39)+(Assumptions!J36*Assumptions!J40))</f>
        <v>824000</v>
      </c>
      <c r="L39" s="6" cm="1">
        <f t="array" ref="L39">INDEX(Assumptions!$E$20:$E$22,Assumptions!$C$1)*((Assumptions!K36*Assumptions!K39)+(Assumptions!K36*Assumptions!K40))</f>
        <v>824000</v>
      </c>
      <c r="M39" s="6" cm="1">
        <f t="array" ref="M39">INDEX(Assumptions!$E$20:$E$22,Assumptions!$C$1)*((Assumptions!L36*Assumptions!L39)+(Assumptions!L36*Assumptions!L40))</f>
        <v>824000</v>
      </c>
    </row>
    <row r="40" spans="2:13" x14ac:dyDescent="0.25">
      <c r="C40" t="s">
        <v>136</v>
      </c>
      <c r="G40" s="64" t="s">
        <v>14</v>
      </c>
      <c r="H40" s="17" cm="1">
        <f t="array" ref="H40">INDEX(Assumptions!$E$20:$E$22,Assumptions!$C$1)*(Assumptions!E77+Assumptions!E78+Assumptions!E81)</f>
        <v>5150000</v>
      </c>
      <c r="I40" s="41">
        <f>H40-I39</f>
        <v>4326000</v>
      </c>
      <c r="J40" s="41">
        <f>I40-J39</f>
        <v>3502000</v>
      </c>
      <c r="K40" s="41">
        <f>J40-K39</f>
        <v>2678000</v>
      </c>
      <c r="L40" s="41">
        <f>K40-L39</f>
        <v>1854000</v>
      </c>
      <c r="M40" s="41">
        <f>L40-M39</f>
        <v>1030000</v>
      </c>
    </row>
    <row r="44" spans="2:13" x14ac:dyDescent="0.25">
      <c r="B44" s="2" t="s">
        <v>63</v>
      </c>
      <c r="F44" s="30" t="s">
        <v>34</v>
      </c>
      <c r="G44" s="30"/>
    </row>
    <row r="45" spans="2:13" x14ac:dyDescent="0.25">
      <c r="C45" s="2" t="s">
        <v>61</v>
      </c>
      <c r="E45" s="3"/>
      <c r="F45" s="19">
        <v>30</v>
      </c>
      <c r="G45" s="31"/>
      <c r="I45" s="6" cm="1">
        <f t="array" ref="I45">INDEX(Assumptions!$E$20:$E$22,Assumptions!$C$1)*((Assumptions!H59*Assumptions!H60)+(Assumptions!H59*Assumptions!H60)*Assumptions!H61)</f>
        <v>388500</v>
      </c>
      <c r="J45" s="6" cm="1">
        <f t="array" ref="J45">INDEX(Assumptions!$E$20:$E$22,Assumptions!$C$1)*((Assumptions!I59*Assumptions!I60)+(Assumptions!I59*Assumptions!I59*Assumptions!I61))</f>
        <v>375106.2</v>
      </c>
      <c r="K45" s="6" cm="1">
        <f t="array" ref="K45">INDEX(Assumptions!$E$20:$E$22,Assumptions!$C$1)*((Assumptions!J59*Assumptions!J60)+(Assumptions!J59*Assumptions!J59*Assumptions!J61))</f>
        <v>375106.2</v>
      </c>
      <c r="L45" s="6" cm="1">
        <f t="array" ref="L45">INDEX(Assumptions!$E$20:$E$22,Assumptions!$C$1)*((Assumptions!K59*Assumptions!K60)+(Assumptions!K59*Assumptions!K59*Assumptions!K61))</f>
        <v>375106.2</v>
      </c>
      <c r="M45" s="6" cm="1">
        <f t="array" ref="M45">INDEX(Assumptions!$E$20:$E$22,Assumptions!$C$1)*((Assumptions!L59*Assumptions!L60)+(Assumptions!L59*Assumptions!L59*Assumptions!L61))</f>
        <v>375106.2</v>
      </c>
    </row>
    <row r="46" spans="2:13" ht="15.75" thickBot="1" x14ac:dyDescent="0.3">
      <c r="C46" s="2" t="s">
        <v>85</v>
      </c>
      <c r="E46" s="3"/>
      <c r="F46" s="31"/>
      <c r="G46" s="31"/>
      <c r="I46" s="32">
        <f>$F101*Assumptions!$E$13</f>
        <v>179735.66399999999</v>
      </c>
      <c r="J46" s="32">
        <f>$F102*Assumptions!$E$13</f>
        <v>157835.45934316993</v>
      </c>
      <c r="K46" s="32">
        <f>$F103*Assumptions!$E$13</f>
        <v>130460.20352213232</v>
      </c>
      <c r="L46" s="32">
        <f>$F104*Assumptions!$E$13</f>
        <v>96241.133745835337</v>
      </c>
      <c r="M46" s="32">
        <f>$F105*Assumptions!$E$13</f>
        <v>53467.296525464095</v>
      </c>
    </row>
    <row r="47" spans="2:13" ht="15.75" thickBot="1" x14ac:dyDescent="0.3">
      <c r="C47" s="2"/>
      <c r="E47" s="3"/>
      <c r="F47" s="31"/>
      <c r="G47" s="31"/>
      <c r="I47" s="36">
        <f>SUM(I45:I46)</f>
        <v>568235.66399999999</v>
      </c>
      <c r="J47" s="36">
        <f t="shared" ref="J47:M47" si="5">SUM(J45:J46)</f>
        <v>532941.65934317</v>
      </c>
      <c r="K47" s="36">
        <f t="shared" si="5"/>
        <v>505566.40352213231</v>
      </c>
      <c r="L47" s="36">
        <f t="shared" si="5"/>
        <v>471347.33374583535</v>
      </c>
      <c r="M47" s="36">
        <f t="shared" si="5"/>
        <v>428573.49652546411</v>
      </c>
    </row>
    <row r="48" spans="2:13" x14ac:dyDescent="0.25">
      <c r="C48" s="2"/>
      <c r="E48" s="3"/>
      <c r="F48" s="31"/>
      <c r="G48" s="31"/>
      <c r="I48" s="33"/>
      <c r="J48" s="33"/>
      <c r="K48" s="33"/>
      <c r="L48" s="33"/>
      <c r="M48" s="33"/>
    </row>
    <row r="49" spans="2:13" x14ac:dyDescent="0.25">
      <c r="C49" s="2" t="s">
        <v>62</v>
      </c>
      <c r="E49" s="3"/>
      <c r="I49" s="6" cm="1">
        <f t="array" ref="I49">INDEX(Assumptions!$E$20:$E$22,Assumptions!$C$1)*((Assumptions!H59*Assumptions!H39)+(Assumptions!H59*Assumptions!H40))</f>
        <v>206000</v>
      </c>
      <c r="J49" s="6" cm="1">
        <f t="array" ref="J49">INDEX(Assumptions!$E$20:$E$22,Assumptions!$C$1)*((Assumptions!I59*Assumptions!I39)+(Assumptions!I59*Assumptions!I40))</f>
        <v>206000</v>
      </c>
      <c r="K49" s="6" cm="1">
        <f t="array" ref="K49">INDEX(Assumptions!$E$20:$E$22,Assumptions!$C$1)*((Assumptions!J59*Assumptions!J39)+(Assumptions!J59*Assumptions!J40))</f>
        <v>206000</v>
      </c>
      <c r="L49" s="6" cm="1">
        <f t="array" ref="L49">INDEX(Assumptions!$E$20:$E$22,Assumptions!$C$1)*((Assumptions!K59*Assumptions!K39)+(Assumptions!K59*Assumptions!K40))</f>
        <v>206000</v>
      </c>
      <c r="M49" s="6" cm="1">
        <f t="array" ref="M49">INDEX(Assumptions!$E$20:$E$22,Assumptions!$C$1)*((Assumptions!L59*Assumptions!L39)+(Assumptions!L59*Assumptions!L40))</f>
        <v>206000</v>
      </c>
    </row>
    <row r="50" spans="2:13" ht="15.75" thickBot="1" x14ac:dyDescent="0.3">
      <c r="C50" s="2"/>
      <c r="E50" s="3"/>
      <c r="I50" s="52"/>
      <c r="J50" s="52"/>
      <c r="K50" s="52"/>
      <c r="L50" s="52"/>
      <c r="M50" s="52"/>
    </row>
    <row r="51" spans="2:13" ht="15.75" thickBot="1" x14ac:dyDescent="0.3">
      <c r="C51" s="2" t="s">
        <v>142</v>
      </c>
      <c r="E51" s="3"/>
      <c r="I51" s="66">
        <f>I47+I49</f>
        <v>774235.66399999999</v>
      </c>
      <c r="J51" s="66">
        <f t="shared" ref="J51:M51" si="6">J47+J49</f>
        <v>738941.65934317</v>
      </c>
      <c r="K51" s="66">
        <f t="shared" si="6"/>
        <v>711566.40352213231</v>
      </c>
      <c r="L51" s="66">
        <f t="shared" si="6"/>
        <v>677347.33374583535</v>
      </c>
      <c r="M51" s="66">
        <f t="shared" si="6"/>
        <v>634573.49652546411</v>
      </c>
    </row>
    <row r="52" spans="2:13" ht="15.75" thickTop="1" x14ac:dyDescent="0.25">
      <c r="E52" s="3"/>
      <c r="I52" s="52"/>
      <c r="J52" s="52"/>
      <c r="K52" s="52"/>
      <c r="L52" s="52"/>
      <c r="M52" s="52"/>
    </row>
    <row r="53" spans="2:13" x14ac:dyDescent="0.25">
      <c r="B53" s="2" t="s">
        <v>60</v>
      </c>
      <c r="E53" s="3"/>
      <c r="I53" s="33"/>
      <c r="J53" s="33"/>
      <c r="K53" s="33"/>
      <c r="L53" s="33"/>
      <c r="M53" s="33"/>
    </row>
    <row r="54" spans="2:13" x14ac:dyDescent="0.25">
      <c r="C54" s="2" t="s">
        <v>35</v>
      </c>
      <c r="F54" s="19">
        <v>4</v>
      </c>
      <c r="G54" s="31"/>
      <c r="I54" s="6" cm="1">
        <f t="array" ref="I54">INDEX(Assumptions!$E$20:$E$22,Assumptions!$C$1)*(Assumptions!H65*Assumptions!H66)</f>
        <v>180000</v>
      </c>
      <c r="J54" s="6" cm="1">
        <f t="array" ref="J54">INDEX(Assumptions!$E$20:$E$22,Assumptions!$C$1)*(Assumptions!I65*Assumptions!I66)</f>
        <v>180000</v>
      </c>
      <c r="K54" s="6" cm="1">
        <f t="array" ref="K54">INDEX(Assumptions!$E$20:$E$22,Assumptions!$C$1)*(Assumptions!J65*Assumptions!J66)</f>
        <v>175000</v>
      </c>
      <c r="L54" s="6" cm="1">
        <f t="array" ref="L54">INDEX(Assumptions!$E$20:$E$22,Assumptions!$C$1)*(Assumptions!K65*Assumptions!K66)</f>
        <v>259000</v>
      </c>
      <c r="M54" s="6" cm="1">
        <f t="array" ref="M54">INDEX(Assumptions!$E$20:$E$22,Assumptions!$C$1)*(Assumptions!L65*Assumptions!L66)</f>
        <v>262500</v>
      </c>
    </row>
    <row r="55" spans="2:13" x14ac:dyDescent="0.25">
      <c r="C55" s="2" t="s">
        <v>36</v>
      </c>
      <c r="F55" s="19">
        <v>4</v>
      </c>
      <c r="G55" s="31"/>
      <c r="I55" s="32" cm="1">
        <f t="array" ref="I55">INDEX(Assumptions!$E$20:$E$22,Assumptions!$C$1)*(Assumptions!H70*Assumptions!H71)</f>
        <v>170000</v>
      </c>
      <c r="J55" s="32" cm="1">
        <f t="array" ref="J55">INDEX(Assumptions!$E$20:$E$22,Assumptions!$C$1)*(Assumptions!I70*Assumptions!I71)</f>
        <v>0</v>
      </c>
      <c r="K55" s="32" cm="1">
        <f t="array" ref="K55">INDEX(Assumptions!$E$20:$E$22,Assumptions!$C$1)*(Assumptions!J70*Assumptions!J71)</f>
        <v>90000</v>
      </c>
      <c r="L55" s="32" cm="1">
        <f t="array" ref="L55">INDEX(Assumptions!$E$20:$E$22,Assumptions!$C$1)*(Assumptions!K70*Assumptions!K71)</f>
        <v>0</v>
      </c>
      <c r="M55" s="32" cm="1">
        <f t="array" ref="M55">INDEX(Assumptions!$E$20:$E$22,Assumptions!$C$1)*(Assumptions!L70*Assumptions!L71)</f>
        <v>90000</v>
      </c>
    </row>
    <row r="56" spans="2:13" ht="15.75" thickBot="1" x14ac:dyDescent="0.3">
      <c r="C56" s="2"/>
      <c r="F56" s="31"/>
      <c r="G56" s="31"/>
      <c r="I56" s="40">
        <f>SUM(I54:I55)</f>
        <v>350000</v>
      </c>
      <c r="J56" s="40">
        <f t="shared" ref="J56:M56" si="7">SUM(J54:J55)</f>
        <v>180000</v>
      </c>
      <c r="K56" s="40">
        <f t="shared" si="7"/>
        <v>265000</v>
      </c>
      <c r="L56" s="40">
        <f t="shared" si="7"/>
        <v>259000</v>
      </c>
      <c r="M56" s="40">
        <f t="shared" si="7"/>
        <v>352500</v>
      </c>
    </row>
    <row r="57" spans="2:13" ht="15.75" thickTop="1" x14ac:dyDescent="0.25">
      <c r="C57" s="2"/>
      <c r="F57" s="31"/>
      <c r="G57" s="31"/>
      <c r="I57" s="34"/>
      <c r="J57" s="34"/>
      <c r="K57" s="34"/>
      <c r="L57" s="34"/>
      <c r="M57" s="34"/>
    </row>
    <row r="58" spans="2:13" x14ac:dyDescent="0.25">
      <c r="I58" s="17"/>
      <c r="J58" s="17"/>
      <c r="K58" s="17"/>
      <c r="L58" s="17"/>
      <c r="M58" s="17"/>
    </row>
    <row r="60" spans="2:13" x14ac:dyDescent="0.25">
      <c r="B60" s="2" t="s">
        <v>64</v>
      </c>
    </row>
    <row r="61" spans="2:13" x14ac:dyDescent="0.25">
      <c r="B61" s="2"/>
      <c r="C61" s="2" t="s">
        <v>61</v>
      </c>
      <c r="I61" s="47">
        <f>SLN(SUM($H47:I47),$G45,$F45)</f>
        <v>18941.1888</v>
      </c>
      <c r="J61" s="47">
        <f>SLN(SUM($H47:J47),$G45,$F45)</f>
        <v>36705.910778105659</v>
      </c>
      <c r="K61" s="47">
        <f>SLN(SUM($H47:K47),$G45,$F45)</f>
        <v>53558.124228843408</v>
      </c>
      <c r="L61" s="47">
        <f>SLN(SUM($H47:L47),$G45,$F45)</f>
        <v>69269.70202037126</v>
      </c>
      <c r="M61" s="47">
        <f>SLN(SUM($H47:M47),$G45,$F45)</f>
        <v>83555.485237886722</v>
      </c>
    </row>
    <row r="62" spans="2:13" x14ac:dyDescent="0.25">
      <c r="B62" s="2"/>
      <c r="H62" s="37"/>
    </row>
    <row r="63" spans="2:13" x14ac:dyDescent="0.25">
      <c r="B63" s="2"/>
    </row>
    <row r="64" spans="2:13" x14ac:dyDescent="0.25">
      <c r="C64" s="2" t="s">
        <v>35</v>
      </c>
      <c r="I64" s="47">
        <f>SLN(SUM($H54:I54),$H54,$F54)</f>
        <v>45000</v>
      </c>
      <c r="J64" s="47">
        <f>SLN(SUM($H54:J54),$H54,$F54)</f>
        <v>90000</v>
      </c>
      <c r="K64" s="47">
        <f>SLN(SUM($H54:K54),$H54,$F54)</f>
        <v>133750</v>
      </c>
      <c r="L64" s="47">
        <f>SLN(SUM($H54:L54),$H54,$F54)</f>
        <v>198500</v>
      </c>
      <c r="M64" s="47">
        <f>SLN(SUM($H54:M54),$H54,$F54)</f>
        <v>264125</v>
      </c>
    </row>
    <row r="65" spans="2:13" x14ac:dyDescent="0.25">
      <c r="C65" s="2" t="s">
        <v>36</v>
      </c>
      <c r="I65" s="62">
        <f>SLN(SUM($H55:I55),$G55,$F55)</f>
        <v>42500</v>
      </c>
      <c r="J65" s="62">
        <f>SLN(SUM($H55:J55),$G55,$F55)</f>
        <v>42500</v>
      </c>
      <c r="K65" s="62">
        <f>SLN(SUM($H55:K55),$G55,$F55)</f>
        <v>65000</v>
      </c>
      <c r="L65" s="62">
        <f>SLN(SUM($H55:L55),$G55,$F55)</f>
        <v>65000</v>
      </c>
      <c r="M65" s="62">
        <f>SLN(SUM($H55:M55),$G55,$F55)</f>
        <v>87500</v>
      </c>
    </row>
    <row r="66" spans="2:13" ht="15.75" thickBot="1" x14ac:dyDescent="0.3">
      <c r="I66" s="39">
        <f>SUM(I61:I65)</f>
        <v>106441.1888</v>
      </c>
      <c r="J66" s="39">
        <f t="shared" ref="J66:M66" si="8">SUM(J61:J65)</f>
        <v>169205.91077810567</v>
      </c>
      <c r="K66" s="39">
        <f t="shared" si="8"/>
        <v>252308.1242288434</v>
      </c>
      <c r="L66" s="39">
        <f t="shared" si="8"/>
        <v>332769.70202037127</v>
      </c>
      <c r="M66" s="39">
        <f t="shared" si="8"/>
        <v>435180.48523788672</v>
      </c>
    </row>
    <row r="67" spans="2:13" ht="15.75" thickTop="1" x14ac:dyDescent="0.25"/>
    <row r="68" spans="2:13" x14ac:dyDescent="0.25">
      <c r="B68" s="2" t="s">
        <v>65</v>
      </c>
    </row>
    <row r="69" spans="2:13" x14ac:dyDescent="0.25">
      <c r="B69" s="2"/>
      <c r="C69" s="2" t="s">
        <v>61</v>
      </c>
      <c r="I69" s="6">
        <f>SUM($H61:I61)</f>
        <v>18941.1888</v>
      </c>
      <c r="J69" s="6">
        <f>SUM($H61:J61)</f>
        <v>55647.099578105655</v>
      </c>
      <c r="K69" s="6">
        <f>SUM($H61:K61)</f>
        <v>109205.22380694907</v>
      </c>
      <c r="L69" s="6">
        <f>SUM($H61:L61)</f>
        <v>178474.92582732032</v>
      </c>
      <c r="M69" s="6">
        <f>SUM($H61:M61)</f>
        <v>262030.41106520704</v>
      </c>
    </row>
    <row r="70" spans="2:13" x14ac:dyDescent="0.25">
      <c r="C70" s="2" t="s">
        <v>35</v>
      </c>
      <c r="I70" s="6">
        <f>SUM($H64:I64)</f>
        <v>45000</v>
      </c>
      <c r="J70" s="6">
        <f>SUM($H64:J64)</f>
        <v>135000</v>
      </c>
      <c r="K70" s="6">
        <f>SUM($H64:K64)</f>
        <v>268750</v>
      </c>
      <c r="L70" s="6">
        <f>SUM($H64:L64)</f>
        <v>467250</v>
      </c>
      <c r="M70" s="6">
        <f>SUM($H64:M64)</f>
        <v>731375</v>
      </c>
    </row>
    <row r="71" spans="2:13" x14ac:dyDescent="0.25">
      <c r="C71" s="2" t="s">
        <v>36</v>
      </c>
      <c r="I71" s="6">
        <f>SUM($H65:I65)</f>
        <v>42500</v>
      </c>
      <c r="J71" s="6">
        <f>SUM($H65:J65)</f>
        <v>85000</v>
      </c>
      <c r="K71" s="6">
        <f>SUM($H65:K65)</f>
        <v>150000</v>
      </c>
      <c r="L71" s="6">
        <f>SUM($H65:L65)</f>
        <v>215000</v>
      </c>
      <c r="M71" s="6">
        <f>SUM($H65:M65)</f>
        <v>302500</v>
      </c>
    </row>
    <row r="72" spans="2:13" ht="15.75" thickBot="1" x14ac:dyDescent="0.3">
      <c r="I72" s="40">
        <f>SUM(I69:I71)</f>
        <v>106441.1888</v>
      </c>
      <c r="J72" s="40">
        <f t="shared" ref="J72:M72" si="9">SUM(J69:J71)</f>
        <v>275647.09957810567</v>
      </c>
      <c r="K72" s="40">
        <f t="shared" si="9"/>
        <v>527955.2238069491</v>
      </c>
      <c r="L72" s="40">
        <f t="shared" si="9"/>
        <v>860724.92582732032</v>
      </c>
      <c r="M72" s="40">
        <f t="shared" si="9"/>
        <v>1295905.4110652071</v>
      </c>
    </row>
    <row r="73" spans="2:13" ht="15.75" thickTop="1" x14ac:dyDescent="0.25"/>
    <row r="76" spans="2:13" x14ac:dyDescent="0.25">
      <c r="B76" s="97" t="s">
        <v>67</v>
      </c>
      <c r="C76" s="98"/>
      <c r="D76" s="98"/>
      <c r="E76" s="98"/>
      <c r="F76" s="98"/>
      <c r="G76" s="98"/>
      <c r="H76" s="98"/>
      <c r="I76" s="98"/>
      <c r="J76" s="98"/>
      <c r="K76" s="98"/>
      <c r="L76" s="98"/>
      <c r="M76" s="98"/>
    </row>
    <row r="78" spans="2:13" x14ac:dyDescent="0.25">
      <c r="C78" s="2" t="s">
        <v>68</v>
      </c>
      <c r="I78" s="41">
        <f>I45+I54+I55</f>
        <v>738500</v>
      </c>
    </row>
    <row r="79" spans="2:13" x14ac:dyDescent="0.25">
      <c r="C79" s="2" t="s">
        <v>69</v>
      </c>
      <c r="I79" s="5"/>
    </row>
    <row r="80" spans="2:13" x14ac:dyDescent="0.25">
      <c r="D80" t="s">
        <v>70</v>
      </c>
      <c r="I80" s="6">
        <f>H40+I32</f>
        <v>5830000</v>
      </c>
    </row>
    <row r="81" spans="2:13" x14ac:dyDescent="0.25">
      <c r="D81" t="s">
        <v>71</v>
      </c>
      <c r="I81" s="41">
        <f>I17</f>
        <v>1554000</v>
      </c>
    </row>
    <row r="82" spans="2:13" x14ac:dyDescent="0.25">
      <c r="D82" t="s">
        <v>72</v>
      </c>
      <c r="F82" s="42"/>
      <c r="I82" s="41">
        <f>I33-I32</f>
        <v>864283.2</v>
      </c>
    </row>
    <row r="83" spans="2:13" ht="15.75" thickBot="1" x14ac:dyDescent="0.3">
      <c r="I83" s="5"/>
    </row>
    <row r="84" spans="2:13" ht="15.75" thickBot="1" x14ac:dyDescent="0.3">
      <c r="I84" s="20">
        <f>SUM(I78:I83)</f>
        <v>8986783.1999999993</v>
      </c>
    </row>
    <row r="87" spans="2:13" x14ac:dyDescent="0.25">
      <c r="D87" t="s">
        <v>47</v>
      </c>
      <c r="I87" s="41">
        <f>I84*Assumptions!E88</f>
        <v>5392069.919999999</v>
      </c>
    </row>
    <row r="88" spans="2:13" ht="15.75" thickBot="1" x14ac:dyDescent="0.3">
      <c r="D88" t="s">
        <v>48</v>
      </c>
      <c r="I88" s="43">
        <f>I84*Assumptions!E89</f>
        <v>3594713.28</v>
      </c>
    </row>
    <row r="89" spans="2:13" ht="15.75" thickBot="1" x14ac:dyDescent="0.3">
      <c r="D89" t="s">
        <v>73</v>
      </c>
      <c r="I89" s="20">
        <f>I84*Assumptions!E90</f>
        <v>8986783.1999999993</v>
      </c>
    </row>
    <row r="92" spans="2:13" x14ac:dyDescent="0.25">
      <c r="B92" s="97" t="s">
        <v>74</v>
      </c>
      <c r="C92" s="98"/>
      <c r="D92" s="98"/>
      <c r="E92" s="98"/>
      <c r="F92" s="98"/>
      <c r="G92" s="98"/>
      <c r="H92" s="98"/>
      <c r="I92" s="98"/>
      <c r="J92" s="98"/>
      <c r="K92" s="98"/>
      <c r="L92" s="98"/>
      <c r="M92" s="98"/>
    </row>
    <row r="94" spans="2:13" x14ac:dyDescent="0.25">
      <c r="B94" t="s">
        <v>75</v>
      </c>
      <c r="D94" s="17">
        <f>I88</f>
        <v>3594713.28</v>
      </c>
    </row>
    <row r="95" spans="2:13" x14ac:dyDescent="0.25">
      <c r="B95" t="s">
        <v>84</v>
      </c>
      <c r="D95" s="44">
        <f>Assumptions!E98</f>
        <v>0.25</v>
      </c>
    </row>
    <row r="96" spans="2:13" x14ac:dyDescent="0.25">
      <c r="B96" t="s">
        <v>76</v>
      </c>
      <c r="D96" s="38">
        <f>PMT(D95,D97,-D94,0)</f>
        <v>1336682.4131366014</v>
      </c>
    </row>
    <row r="97" spans="2:13" x14ac:dyDescent="0.25">
      <c r="B97" t="s">
        <v>77</v>
      </c>
      <c r="D97" s="31">
        <v>5</v>
      </c>
    </row>
    <row r="100" spans="2:13" x14ac:dyDescent="0.25">
      <c r="C100" s="45" t="s">
        <v>80</v>
      </c>
      <c r="D100" s="45" t="s">
        <v>81</v>
      </c>
      <c r="E100" s="45" t="s">
        <v>76</v>
      </c>
      <c r="F100" s="45" t="s">
        <v>79</v>
      </c>
      <c r="G100" s="45" t="s">
        <v>82</v>
      </c>
      <c r="H100" s="45" t="s">
        <v>83</v>
      </c>
    </row>
    <row r="101" spans="2:13" x14ac:dyDescent="0.25">
      <c r="C101" s="46">
        <v>1</v>
      </c>
      <c r="D101" s="41">
        <f>D94</f>
        <v>3594713.28</v>
      </c>
      <c r="E101" s="47">
        <f>D96</f>
        <v>1336682.4131366014</v>
      </c>
      <c r="F101" s="41">
        <f>$D101*$D$95</f>
        <v>898678.32</v>
      </c>
      <c r="G101" s="41">
        <f>$E101-$F101</f>
        <v>438004.0931366015</v>
      </c>
      <c r="H101" s="41">
        <f>$D101-$G101</f>
        <v>3156709.1868633982</v>
      </c>
    </row>
    <row r="102" spans="2:13" x14ac:dyDescent="0.25">
      <c r="C102" s="48">
        <v>2</v>
      </c>
      <c r="D102" s="41">
        <f>$H101</f>
        <v>3156709.1868633982</v>
      </c>
      <c r="E102" s="47">
        <f>$E101</f>
        <v>1336682.4131366014</v>
      </c>
      <c r="F102" s="41">
        <f>$D102*$D$95</f>
        <v>789177.29671584954</v>
      </c>
      <c r="G102" s="41">
        <f>$E102-$F102</f>
        <v>547505.1164207519</v>
      </c>
      <c r="H102" s="41">
        <f>$D102-$G102</f>
        <v>2609204.0704426463</v>
      </c>
    </row>
    <row r="103" spans="2:13" x14ac:dyDescent="0.25">
      <c r="C103" s="49">
        <v>3</v>
      </c>
      <c r="D103" s="41">
        <f t="shared" ref="D103:D105" si="10">$H102</f>
        <v>2609204.0704426463</v>
      </c>
      <c r="E103" s="47">
        <f t="shared" ref="E103:E105" si="11">$E102</f>
        <v>1336682.4131366014</v>
      </c>
      <c r="F103" s="41">
        <f t="shared" ref="F103:F105" si="12">$D103*$D$95</f>
        <v>652301.01761066157</v>
      </c>
      <c r="G103" s="41">
        <f t="shared" ref="G103:G105" si="13">$E103-$F103</f>
        <v>684381.39552593988</v>
      </c>
      <c r="H103" s="41">
        <f t="shared" ref="H103:H105" si="14">$D103-$G103</f>
        <v>1924822.6749167065</v>
      </c>
    </row>
    <row r="104" spans="2:13" x14ac:dyDescent="0.25">
      <c r="C104" s="50">
        <v>4</v>
      </c>
      <c r="D104" s="41">
        <f t="shared" si="10"/>
        <v>1924822.6749167065</v>
      </c>
      <c r="E104" s="47">
        <f t="shared" si="11"/>
        <v>1336682.4131366014</v>
      </c>
      <c r="F104" s="41">
        <f t="shared" si="12"/>
        <v>481205.66872917663</v>
      </c>
      <c r="G104" s="41">
        <f t="shared" si="13"/>
        <v>855476.74440742482</v>
      </c>
      <c r="H104" s="41">
        <f t="shared" si="14"/>
        <v>1069345.9305092818</v>
      </c>
    </row>
    <row r="105" spans="2:13" x14ac:dyDescent="0.25">
      <c r="C105" s="51">
        <v>5</v>
      </c>
      <c r="D105" s="41">
        <f t="shared" si="10"/>
        <v>1069345.9305092818</v>
      </c>
      <c r="E105" s="47">
        <f t="shared" si="11"/>
        <v>1336682.4131366014</v>
      </c>
      <c r="F105" s="41">
        <f t="shared" si="12"/>
        <v>267336.48262732045</v>
      </c>
      <c r="G105" s="41">
        <f t="shared" si="13"/>
        <v>1069345.9305092809</v>
      </c>
      <c r="H105" s="6">
        <f t="shared" si="14"/>
        <v>0</v>
      </c>
    </row>
    <row r="107" spans="2:13" x14ac:dyDescent="0.25">
      <c r="B107" s="97" t="s">
        <v>140</v>
      </c>
      <c r="C107" s="98"/>
      <c r="D107" s="98"/>
      <c r="E107" s="98"/>
      <c r="F107" s="98"/>
      <c r="G107" s="98"/>
      <c r="H107" s="98"/>
      <c r="I107" s="98"/>
      <c r="J107" s="98"/>
      <c r="K107" s="98"/>
      <c r="L107" s="98"/>
      <c r="M107" s="98"/>
    </row>
    <row r="108" spans="2:13" x14ac:dyDescent="0.25">
      <c r="B108" s="65"/>
      <c r="C108" s="65"/>
    </row>
    <row r="109" spans="2:13" x14ac:dyDescent="0.25">
      <c r="F109" t="s">
        <v>86</v>
      </c>
      <c r="I109" s="41">
        <f>(I17+I45)*Assumptions!$E$14</f>
        <v>194250</v>
      </c>
      <c r="J109" s="41">
        <f>(J17+J45)*Assumptions!$E$14</f>
        <v>195055.14</v>
      </c>
      <c r="K109" s="41">
        <f>(K17+K45)*Assumptions!$E$14</f>
        <v>195055.14</v>
      </c>
      <c r="L109" s="41">
        <f>(L17+L45)*Assumptions!$E$14</f>
        <v>195055.14</v>
      </c>
      <c r="M109" s="41">
        <f>(M17+M45)*Assumptions!$E$14</f>
        <v>195055.14</v>
      </c>
    </row>
    <row r="110" spans="2:13" x14ac:dyDescent="0.25">
      <c r="I110" s="17"/>
      <c r="J110" s="17"/>
      <c r="K110" s="17"/>
      <c r="L110" s="17"/>
      <c r="M110" s="17"/>
    </row>
    <row r="111" spans="2:13" x14ac:dyDescent="0.25">
      <c r="B111" s="97" t="s">
        <v>265</v>
      </c>
      <c r="C111" s="98"/>
      <c r="D111" s="98"/>
      <c r="E111" s="98"/>
      <c r="F111" s="98"/>
      <c r="G111" s="98"/>
      <c r="H111" s="98"/>
      <c r="I111" s="98"/>
      <c r="J111" s="98"/>
      <c r="K111" s="98"/>
      <c r="L111" s="98"/>
      <c r="M111" s="98"/>
    </row>
    <row r="112" spans="2:13" x14ac:dyDescent="0.25">
      <c r="I112" s="17"/>
      <c r="J112" s="17"/>
      <c r="K112" s="17"/>
      <c r="L112" s="17"/>
      <c r="M112" s="17"/>
    </row>
    <row r="113" spans="2:13" x14ac:dyDescent="0.25">
      <c r="F113" t="s">
        <v>266</v>
      </c>
      <c r="I113" s="17">
        <f>$F101</f>
        <v>898678.32</v>
      </c>
      <c r="J113" s="17">
        <f>$F102</f>
        <v>789177.29671584954</v>
      </c>
      <c r="K113" s="17">
        <f>$F103</f>
        <v>652301.01761066157</v>
      </c>
      <c r="L113" s="17">
        <f>$F104</f>
        <v>481205.66872917663</v>
      </c>
      <c r="M113" s="17">
        <f>$F105</f>
        <v>267336.48262732045</v>
      </c>
    </row>
    <row r="114" spans="2:13" x14ac:dyDescent="0.25">
      <c r="F114" t="s">
        <v>267</v>
      </c>
      <c r="I114" s="92">
        <f>Assumptions!$E$16</f>
        <v>0.25</v>
      </c>
      <c r="J114" s="92">
        <f>Assumptions!$E$16</f>
        <v>0.25</v>
      </c>
      <c r="K114" s="92">
        <f>Assumptions!$E$16</f>
        <v>0.25</v>
      </c>
      <c r="L114" s="92">
        <f>Assumptions!$E$16</f>
        <v>0.25</v>
      </c>
      <c r="M114" s="92">
        <f>Assumptions!$E$16</f>
        <v>0.25</v>
      </c>
    </row>
    <row r="115" spans="2:13" x14ac:dyDescent="0.25">
      <c r="F115" t="s">
        <v>265</v>
      </c>
      <c r="I115" s="92">
        <f>(1-I114)</f>
        <v>0.75</v>
      </c>
      <c r="J115" s="92">
        <f t="shared" ref="J115:M115" si="15">(1-J114)</f>
        <v>0.75</v>
      </c>
      <c r="K115" s="92">
        <f t="shared" si="15"/>
        <v>0.75</v>
      </c>
      <c r="L115" s="92">
        <f t="shared" si="15"/>
        <v>0.75</v>
      </c>
      <c r="M115" s="92">
        <f t="shared" si="15"/>
        <v>0.75</v>
      </c>
    </row>
    <row r="116" spans="2:13" x14ac:dyDescent="0.25">
      <c r="F116" t="s">
        <v>268</v>
      </c>
      <c r="I116" s="93">
        <f>I113*I115</f>
        <v>674008.74</v>
      </c>
      <c r="J116" s="93">
        <f t="shared" ref="J116:M116" si="16">J113*J115</f>
        <v>591882.97253688716</v>
      </c>
      <c r="K116" s="93">
        <f t="shared" si="16"/>
        <v>489225.76320799615</v>
      </c>
      <c r="L116" s="93">
        <f t="shared" si="16"/>
        <v>360904.25154688244</v>
      </c>
      <c r="M116" s="93">
        <f t="shared" si="16"/>
        <v>200502.36197049034</v>
      </c>
    </row>
    <row r="119" spans="2:13" x14ac:dyDescent="0.25">
      <c r="B119" s="97" t="s">
        <v>176</v>
      </c>
      <c r="C119" s="98"/>
      <c r="D119" s="98"/>
      <c r="E119" s="98"/>
      <c r="F119" s="98"/>
      <c r="G119" s="98"/>
      <c r="H119" s="98"/>
      <c r="I119" s="98"/>
      <c r="J119" s="98"/>
      <c r="K119" s="98"/>
      <c r="L119" s="98"/>
      <c r="M119" s="98"/>
    </row>
    <row r="121" spans="2:13" x14ac:dyDescent="0.25">
      <c r="F121" t="s">
        <v>174</v>
      </c>
      <c r="H121" s="69">
        <f>((H124/(H124+H127))*H123)+((H127/(H124+H127))*(H126*(1-H130)))</f>
        <v>0.16016250126184228</v>
      </c>
    </row>
    <row r="122" spans="2:13" x14ac:dyDescent="0.25">
      <c r="H122" s="5"/>
    </row>
    <row r="123" spans="2:13" x14ac:dyDescent="0.25">
      <c r="F123" t="s">
        <v>50</v>
      </c>
      <c r="H123" s="70">
        <f>H134</f>
        <v>0.14193750210307046</v>
      </c>
    </row>
    <row r="124" spans="2:13" x14ac:dyDescent="0.25">
      <c r="F124" t="s">
        <v>177</v>
      </c>
      <c r="H124" s="41">
        <f>I87</f>
        <v>5392069.919999999</v>
      </c>
    </row>
    <row r="125" spans="2:13" x14ac:dyDescent="0.25">
      <c r="H125" s="5"/>
    </row>
    <row r="126" spans="2:13" x14ac:dyDescent="0.25">
      <c r="F126" t="s">
        <v>52</v>
      </c>
      <c r="H126" s="35">
        <f>Assumptions!E98</f>
        <v>0.25</v>
      </c>
    </row>
    <row r="127" spans="2:13" x14ac:dyDescent="0.25">
      <c r="F127" t="s">
        <v>178</v>
      </c>
      <c r="H127" s="41">
        <f>I88</f>
        <v>3594713.28</v>
      </c>
    </row>
    <row r="128" spans="2:13" x14ac:dyDescent="0.25">
      <c r="H128" s="5"/>
    </row>
    <row r="129" spans="2:13" x14ac:dyDescent="0.25">
      <c r="F129" t="s">
        <v>179</v>
      </c>
      <c r="H129" s="41">
        <f>H124+H127</f>
        <v>8986783.1999999993</v>
      </c>
    </row>
    <row r="130" spans="2:13" x14ac:dyDescent="0.25">
      <c r="F130" t="s">
        <v>180</v>
      </c>
      <c r="H130" s="35">
        <f>Assumptions!E16</f>
        <v>0.25</v>
      </c>
    </row>
    <row r="132" spans="2:13" x14ac:dyDescent="0.25">
      <c r="B132" s="97" t="s">
        <v>50</v>
      </c>
      <c r="C132" s="98"/>
      <c r="D132" s="98"/>
      <c r="E132" s="98"/>
      <c r="F132" s="98"/>
      <c r="G132" s="98"/>
      <c r="H132" s="98"/>
      <c r="I132" s="98"/>
      <c r="J132" s="98"/>
      <c r="K132" s="98"/>
      <c r="L132" s="98"/>
      <c r="M132" s="98"/>
    </row>
    <row r="134" spans="2:13" x14ac:dyDescent="0.25">
      <c r="F134" t="s">
        <v>181</v>
      </c>
      <c r="H134" s="68">
        <f>H136+H138*(H140-H136)</f>
        <v>0.14193750210307046</v>
      </c>
    </row>
    <row r="136" spans="2:13" x14ac:dyDescent="0.25">
      <c r="G136" t="s">
        <v>182</v>
      </c>
      <c r="H136" s="69">
        <v>0.29849999999999999</v>
      </c>
      <c r="I136" t="s">
        <v>185</v>
      </c>
    </row>
    <row r="137" spans="2:13" x14ac:dyDescent="0.25">
      <c r="H137" s="5"/>
    </row>
    <row r="138" spans="2:13" x14ac:dyDescent="0.25">
      <c r="G138" t="s">
        <v>183</v>
      </c>
      <c r="H138" s="5">
        <f>I138*(1-40%)</f>
        <v>1.0726199999999999</v>
      </c>
      <c r="I138">
        <v>1.7877000000000001</v>
      </c>
      <c r="J138" t="s">
        <v>279</v>
      </c>
    </row>
    <row r="139" spans="2:13" x14ac:dyDescent="0.25">
      <c r="H139" s="5"/>
    </row>
    <row r="140" spans="2:13" x14ac:dyDescent="0.25">
      <c r="G140" t="s">
        <v>184</v>
      </c>
      <c r="H140" s="69">
        <f>_xlfn.RRI(H142-H143,I143,I142)</f>
        <v>0.15253731247139757</v>
      </c>
    </row>
    <row r="142" spans="2:13" x14ac:dyDescent="0.25">
      <c r="H142" s="5">
        <v>2025</v>
      </c>
      <c r="I142" s="23">
        <v>8410.56</v>
      </c>
      <c r="J142" t="s">
        <v>281</v>
      </c>
      <c r="L142" t="s">
        <v>282</v>
      </c>
    </row>
    <row r="143" spans="2:13" x14ac:dyDescent="0.25">
      <c r="H143" s="5">
        <v>2010</v>
      </c>
      <c r="I143" s="6">
        <v>1000</v>
      </c>
      <c r="J143" t="s">
        <v>280</v>
      </c>
      <c r="L143" t="s">
        <v>283</v>
      </c>
    </row>
  </sheetData>
  <hyperlinks>
    <hyperlink ref="N1" location="'Table of Content'!A1" display="Back" xr:uid="{C30A5E71-24F0-48C7-A3DB-DEA892955D7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anchor moveWithCells="1">
                  <from>
                    <xdr:col>1</xdr:col>
                    <xdr:colOff>600075</xdr:colOff>
                    <xdr:row>0</xdr:row>
                    <xdr:rowOff>0</xdr:rowOff>
                  </from>
                  <to>
                    <xdr:col>3</xdr:col>
                    <xdr:colOff>142875</xdr:colOff>
                    <xdr:row>1</xdr:row>
                    <xdr:rowOff>66675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8F1D3-02E4-4EC3-9A09-3389EEFE0C33}">
  <sheetPr>
    <tabColor theme="2" tint="-0.499984740745262"/>
  </sheetPr>
  <dimension ref="B1:N27"/>
  <sheetViews>
    <sheetView showGridLines="0" zoomScaleNormal="100" workbookViewId="0">
      <selection activeCell="L1" sqref="L1"/>
    </sheetView>
  </sheetViews>
  <sheetFormatPr defaultColWidth="8.85546875" defaultRowHeight="15" x14ac:dyDescent="0.25"/>
  <cols>
    <col min="9" max="13" width="13.28515625" bestFit="1" customWidth="1"/>
  </cols>
  <sheetData>
    <row r="1" spans="2:14" x14ac:dyDescent="0.25">
      <c r="B1" s="3" t="s">
        <v>274</v>
      </c>
      <c r="L1" s="105" t="s">
        <v>278</v>
      </c>
      <c r="M1" s="106">
        <f ca="1">TODAY()</f>
        <v>45934</v>
      </c>
      <c r="N1" s="104" t="s">
        <v>275</v>
      </c>
    </row>
    <row r="3" spans="2:14" ht="18.75" x14ac:dyDescent="0.3">
      <c r="B3" s="94" t="s">
        <v>89</v>
      </c>
      <c r="C3" s="95"/>
      <c r="D3" s="95"/>
      <c r="E3" s="95"/>
      <c r="F3" s="95"/>
      <c r="G3" s="95"/>
      <c r="H3" s="95"/>
      <c r="I3" s="95"/>
      <c r="J3" s="95"/>
      <c r="K3" s="95"/>
      <c r="L3" s="95"/>
      <c r="M3" s="95"/>
    </row>
    <row r="4" spans="2:14" x14ac:dyDescent="0.25">
      <c r="H4" s="8">
        <v>0</v>
      </c>
      <c r="I4" s="9">
        <v>1</v>
      </c>
      <c r="J4" s="10">
        <v>2</v>
      </c>
      <c r="K4" s="11">
        <v>3</v>
      </c>
      <c r="L4" s="12">
        <v>4</v>
      </c>
      <c r="M4" s="13">
        <v>5</v>
      </c>
    </row>
    <row r="6" spans="2:14" x14ac:dyDescent="0.25">
      <c r="B6" s="2" t="s">
        <v>57</v>
      </c>
      <c r="I6" s="6">
        <f>Workings!I13</f>
        <v>6327360</v>
      </c>
      <c r="J6" s="6">
        <f>Workings!J13</f>
        <v>6503243.1359999999</v>
      </c>
      <c r="K6" s="6">
        <f>Workings!K13</f>
        <v>6591808.7039999999</v>
      </c>
      <c r="L6" s="6">
        <f>Workings!L13</f>
        <v>6680374.2719999999</v>
      </c>
      <c r="M6" s="6">
        <f>Workings!M13</f>
        <v>6768939.8399999999</v>
      </c>
    </row>
    <row r="7" spans="2:14" x14ac:dyDescent="0.25">
      <c r="B7" s="2" t="s">
        <v>58</v>
      </c>
      <c r="I7" s="6">
        <f>-Workings!I20</f>
        <v>-3096942.656</v>
      </c>
      <c r="J7" s="6">
        <f>-Workings!J20</f>
        <v>-3030787.0373726794</v>
      </c>
      <c r="K7" s="6">
        <f>-Workings!K20</f>
        <v>-2921286.0140885292</v>
      </c>
      <c r="L7" s="6">
        <f>-Workings!L20</f>
        <v>-2784409.7349833413</v>
      </c>
      <c r="M7" s="6">
        <f>-Workings!M20</f>
        <v>-2613314.3861018564</v>
      </c>
    </row>
    <row r="8" spans="2:14" ht="15.75" thickBot="1" x14ac:dyDescent="0.3">
      <c r="B8" s="2"/>
      <c r="I8" s="53"/>
      <c r="J8" s="53"/>
      <c r="K8" s="53"/>
      <c r="L8" s="53"/>
      <c r="M8" s="53"/>
    </row>
    <row r="9" spans="2:14" x14ac:dyDescent="0.25">
      <c r="B9" s="2" t="s">
        <v>90</v>
      </c>
      <c r="I9" s="54">
        <f>SUM(I6:I8)</f>
        <v>3230417.344</v>
      </c>
      <c r="J9" s="54">
        <f t="shared" ref="J9:M9" si="0">SUM(J6:J8)</f>
        <v>3472456.0986273205</v>
      </c>
      <c r="K9" s="54">
        <f t="shared" si="0"/>
        <v>3670522.6899114707</v>
      </c>
      <c r="L9" s="54">
        <f t="shared" si="0"/>
        <v>3895964.5370166586</v>
      </c>
      <c r="M9" s="54">
        <f t="shared" si="0"/>
        <v>4155625.4538981435</v>
      </c>
    </row>
    <row r="10" spans="2:14" x14ac:dyDescent="0.25">
      <c r="B10" s="2"/>
      <c r="I10" s="6"/>
      <c r="J10" s="6"/>
      <c r="K10" s="6"/>
      <c r="L10" s="6"/>
      <c r="M10" s="6"/>
    </row>
    <row r="11" spans="2:14" x14ac:dyDescent="0.25">
      <c r="B11" s="2" t="s">
        <v>72</v>
      </c>
      <c r="I11" s="6">
        <f>-Workings!I33</f>
        <v>-1544283.2</v>
      </c>
      <c r="J11" s="6">
        <f>-Workings!J33</f>
        <v>-885389.17631999997</v>
      </c>
      <c r="K11" s="6">
        <f>-Workings!K33</f>
        <v>-902017.04448000004</v>
      </c>
      <c r="L11" s="6">
        <f>-Workings!L33</f>
        <v>-885243.04127999989</v>
      </c>
      <c r="M11" s="6">
        <f>-Workings!M33</f>
        <v>-895428.08160000003</v>
      </c>
    </row>
    <row r="12" spans="2:14" ht="15.75" thickBot="1" x14ac:dyDescent="0.3">
      <c r="B12" s="2"/>
      <c r="I12" s="53"/>
      <c r="J12" s="53"/>
      <c r="K12" s="53"/>
      <c r="L12" s="53"/>
      <c r="M12" s="53"/>
    </row>
    <row r="13" spans="2:14" x14ac:dyDescent="0.25">
      <c r="B13" s="2" t="s">
        <v>91</v>
      </c>
      <c r="I13" s="54">
        <f>SUM(I9:I12)</f>
        <v>1686134.1440000001</v>
      </c>
      <c r="J13" s="54">
        <f t="shared" ref="J13:M13" si="1">SUM(J9:J12)</f>
        <v>2587066.9223073204</v>
      </c>
      <c r="K13" s="54">
        <f t="shared" si="1"/>
        <v>2768505.6454314706</v>
      </c>
      <c r="L13" s="54">
        <f t="shared" si="1"/>
        <v>3010721.4957366586</v>
      </c>
      <c r="M13" s="54">
        <f t="shared" si="1"/>
        <v>3260197.3722981433</v>
      </c>
    </row>
    <row r="14" spans="2:14" x14ac:dyDescent="0.25">
      <c r="B14" s="2"/>
      <c r="I14" s="6"/>
      <c r="J14" s="6"/>
      <c r="K14" s="6"/>
      <c r="L14" s="6"/>
      <c r="M14" s="6"/>
    </row>
    <row r="15" spans="2:14" x14ac:dyDescent="0.25">
      <c r="B15" s="2" t="s">
        <v>64</v>
      </c>
      <c r="I15" s="6">
        <f>-Workings!I66</f>
        <v>-106441.1888</v>
      </c>
      <c r="J15" s="6">
        <f>-Workings!J66</f>
        <v>-169205.91077810567</v>
      </c>
      <c r="K15" s="6">
        <f>-Workings!K66</f>
        <v>-252308.1242288434</v>
      </c>
      <c r="L15" s="6">
        <f>-Workings!L66</f>
        <v>-332769.70202037127</v>
      </c>
      <c r="M15" s="6">
        <f>-Workings!M66</f>
        <v>-435180.48523788672</v>
      </c>
    </row>
    <row r="16" spans="2:14" ht="15.75" thickBot="1" x14ac:dyDescent="0.3">
      <c r="B16" s="2"/>
      <c r="I16" s="53"/>
      <c r="J16" s="53"/>
      <c r="K16" s="53"/>
      <c r="L16" s="53"/>
      <c r="M16" s="53"/>
    </row>
    <row r="17" spans="2:13" x14ac:dyDescent="0.25">
      <c r="B17" s="2" t="s">
        <v>92</v>
      </c>
      <c r="I17" s="54">
        <f>SUM(I13:I16)</f>
        <v>1579692.9552000002</v>
      </c>
      <c r="J17" s="54">
        <f t="shared" ref="J17:M17" si="2">IF(SUM(J13:J16)&lt;0,"",SUM(J13:J16))</f>
        <v>2417861.0115292147</v>
      </c>
      <c r="K17" s="54">
        <f t="shared" si="2"/>
        <v>2516197.5212026271</v>
      </c>
      <c r="L17" s="54">
        <f t="shared" si="2"/>
        <v>2677951.7937162872</v>
      </c>
      <c r="M17" s="54">
        <f t="shared" si="2"/>
        <v>2825016.8870602567</v>
      </c>
    </row>
    <row r="18" spans="2:13" x14ac:dyDescent="0.25">
      <c r="B18" s="2"/>
      <c r="I18" s="4"/>
      <c r="J18" s="4"/>
      <c r="K18" s="4"/>
      <c r="L18" s="4"/>
      <c r="M18" s="4"/>
    </row>
    <row r="19" spans="2:13" x14ac:dyDescent="0.25">
      <c r="B19" s="2" t="s">
        <v>93</v>
      </c>
      <c r="I19" s="4">
        <f>IF(SUM(I13:I16)&lt;0,"",-I17*Assumptions!$E$16)</f>
        <v>-394923.23880000005</v>
      </c>
      <c r="J19" s="4">
        <f>-J17*Assumptions!$E$16</f>
        <v>-604465.25288230367</v>
      </c>
      <c r="K19" s="4">
        <f>-K17*Assumptions!$E$16</f>
        <v>-629049.38030065678</v>
      </c>
      <c r="L19" s="4">
        <f>-L17*Assumptions!$E$16</f>
        <v>-669487.94842907181</v>
      </c>
      <c r="M19" s="4">
        <f>-M17*Assumptions!$E$16</f>
        <v>-706254.22176506417</v>
      </c>
    </row>
    <row r="20" spans="2:13" ht="15.75" thickBot="1" x14ac:dyDescent="0.3">
      <c r="B20" s="2"/>
      <c r="I20" s="4"/>
      <c r="J20" s="4"/>
      <c r="K20" s="4"/>
      <c r="L20" s="4"/>
      <c r="M20" s="4"/>
    </row>
    <row r="21" spans="2:13" ht="15.75" thickBot="1" x14ac:dyDescent="0.3">
      <c r="B21" s="2" t="s">
        <v>94</v>
      </c>
      <c r="I21" s="99">
        <f>SUM(I17:I20)</f>
        <v>1184769.7164000003</v>
      </c>
      <c r="J21" s="99">
        <f t="shared" ref="J21:M21" si="3">SUM(J17:J20)</f>
        <v>1813395.758646911</v>
      </c>
      <c r="K21" s="99">
        <f t="shared" si="3"/>
        <v>1887148.1409019702</v>
      </c>
      <c r="L21" s="99">
        <f t="shared" si="3"/>
        <v>2008463.8452872154</v>
      </c>
      <c r="M21" s="99">
        <f t="shared" si="3"/>
        <v>2118762.6652951925</v>
      </c>
    </row>
    <row r="22" spans="2:13" ht="15.75" thickTop="1" x14ac:dyDescent="0.25">
      <c r="B22" s="2"/>
      <c r="I22" s="4"/>
      <c r="J22" s="4"/>
      <c r="K22" s="4"/>
      <c r="L22" s="4"/>
      <c r="M22" s="4"/>
    </row>
    <row r="23" spans="2:13" x14ac:dyDescent="0.25">
      <c r="B23" s="2" t="s">
        <v>95</v>
      </c>
      <c r="I23" s="6">
        <f>IF(I21&lt;0,0,-I21*Assumptions!$E$94)</f>
        <v>-236953.94328000006</v>
      </c>
      <c r="J23" s="6">
        <f>IF(J21&lt;0,0,-J21*Assumptions!$E$94)</f>
        <v>-362679.15172938223</v>
      </c>
      <c r="K23" s="6">
        <f>IF(K21&lt;0,0,-K21*Assumptions!$E$94)</f>
        <v>-377429.62818039407</v>
      </c>
      <c r="L23" s="6">
        <f>IF(L21&lt;0,0,-L21*Assumptions!$E$94)</f>
        <v>-401692.76905744313</v>
      </c>
      <c r="M23" s="6">
        <f>IF(M21&lt;0,0,-M21*Assumptions!$E$94)</f>
        <v>-423752.53305903851</v>
      </c>
    </row>
    <row r="24" spans="2:13" x14ac:dyDescent="0.25">
      <c r="B24" s="2"/>
      <c r="I24" s="6"/>
      <c r="J24" s="6"/>
      <c r="K24" s="6"/>
      <c r="L24" s="6"/>
      <c r="M24" s="6"/>
    </row>
    <row r="25" spans="2:13" ht="15.75" thickBot="1" x14ac:dyDescent="0.3">
      <c r="B25" s="2" t="s">
        <v>96</v>
      </c>
      <c r="I25" s="32">
        <f>IF(SUM(I21:I24)&lt;0,0,SUM(I21:I24))</f>
        <v>947815.77312000026</v>
      </c>
      <c r="J25" s="32">
        <f t="shared" ref="J25:M25" si="4">IF(SUM(J21:J24)&lt;0,0,SUM(J21:J24))</f>
        <v>1450716.6069175289</v>
      </c>
      <c r="K25" s="32">
        <f t="shared" si="4"/>
        <v>1509718.5127215763</v>
      </c>
      <c r="L25" s="32">
        <f t="shared" si="4"/>
        <v>1606771.0762297723</v>
      </c>
      <c r="M25" s="32">
        <f t="shared" si="4"/>
        <v>1695010.1322361541</v>
      </c>
    </row>
    <row r="26" spans="2:13" ht="15.75" thickBot="1" x14ac:dyDescent="0.3">
      <c r="B26" s="2" t="s">
        <v>97</v>
      </c>
      <c r="I26" s="99">
        <f>H26+I25</f>
        <v>947815.77312000026</v>
      </c>
      <c r="J26" s="99">
        <f t="shared" ref="J26:M26" si="5">I26+J25</f>
        <v>2398532.3800375294</v>
      </c>
      <c r="K26" s="99">
        <f t="shared" si="5"/>
        <v>3908250.8927591057</v>
      </c>
      <c r="L26" s="99">
        <f t="shared" si="5"/>
        <v>5515021.9689888777</v>
      </c>
      <c r="M26" s="99">
        <f t="shared" si="5"/>
        <v>7210032.1012250315</v>
      </c>
    </row>
    <row r="27" spans="2:13" ht="15.75" thickTop="1" x14ac:dyDescent="0.25"/>
  </sheetData>
  <hyperlinks>
    <hyperlink ref="N1" location="'Table of Content'!A1" display="Back" xr:uid="{55BFC6A2-5FB7-4EB3-83AD-44A9C6C8ED8A}"/>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69" r:id="rId3" name="Drop Down 1">
              <controlPr defaultSize="0" autoLine="0" autoPict="0">
                <anchor moveWithCells="1">
                  <from>
                    <xdr:col>2</xdr:col>
                    <xdr:colOff>9525</xdr:colOff>
                    <xdr:row>0</xdr:row>
                    <xdr:rowOff>9525</xdr:rowOff>
                  </from>
                  <to>
                    <xdr:col>3</xdr:col>
                    <xdr:colOff>228600</xdr:colOff>
                    <xdr:row>1</xdr:row>
                    <xdr:rowOff>38100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CB91-F690-46FE-BFE7-3CB48D922182}">
  <sheetPr>
    <tabColor theme="2" tint="-0.499984740745262"/>
  </sheetPr>
  <dimension ref="B1:U46"/>
  <sheetViews>
    <sheetView showGridLines="0" zoomScaleNormal="100" workbookViewId="0">
      <pane ySplit="4" topLeftCell="A5" activePane="bottomLeft" state="frozen"/>
      <selection activeCell="L25" sqref="L25"/>
      <selection pane="bottomLeft" activeCell="I14" sqref="I14"/>
    </sheetView>
  </sheetViews>
  <sheetFormatPr defaultColWidth="8.85546875" defaultRowHeight="15" x14ac:dyDescent="0.25"/>
  <cols>
    <col min="2" max="2" width="9.28515625" customWidth="1"/>
    <col min="9" max="9" width="14.42578125" bestFit="1" customWidth="1"/>
    <col min="10" max="10" width="15.28515625" bestFit="1" customWidth="1"/>
    <col min="11" max="12" width="14.42578125" bestFit="1" customWidth="1"/>
    <col min="13" max="13" width="15.28515625" bestFit="1" customWidth="1"/>
    <col min="16" max="16" width="14.28515625" bestFit="1" customWidth="1"/>
  </cols>
  <sheetData>
    <row r="1" spans="2:14" x14ac:dyDescent="0.25">
      <c r="B1" s="3" t="s">
        <v>274</v>
      </c>
      <c r="L1" s="105" t="s">
        <v>278</v>
      </c>
      <c r="M1" s="106">
        <f ca="1">TODAY()</f>
        <v>45934</v>
      </c>
      <c r="N1" s="104" t="s">
        <v>275</v>
      </c>
    </row>
    <row r="3" spans="2:14" ht="18.75" x14ac:dyDescent="0.3">
      <c r="B3" s="94" t="s">
        <v>98</v>
      </c>
      <c r="C3" s="95"/>
      <c r="D3" s="95"/>
      <c r="E3" s="95"/>
      <c r="F3" s="95"/>
      <c r="G3" s="95"/>
      <c r="H3" s="95"/>
      <c r="I3" s="95"/>
      <c r="J3" s="95"/>
      <c r="K3" s="95"/>
      <c r="L3" s="95"/>
      <c r="M3" s="95"/>
    </row>
    <row r="4" spans="2:14" x14ac:dyDescent="0.25">
      <c r="H4" s="8">
        <v>0</v>
      </c>
      <c r="I4" s="9">
        <v>1</v>
      </c>
      <c r="J4" s="10">
        <v>2</v>
      </c>
      <c r="K4" s="11">
        <v>3</v>
      </c>
      <c r="L4" s="12">
        <v>4</v>
      </c>
      <c r="M4" s="13">
        <v>5</v>
      </c>
    </row>
    <row r="5" spans="2:14" ht="15.75" thickBot="1" x14ac:dyDescent="0.3">
      <c r="B5" s="2" t="s">
        <v>99</v>
      </c>
      <c r="G5" s="56"/>
      <c r="H5" s="56"/>
      <c r="I5" s="56"/>
      <c r="J5" s="56"/>
      <c r="K5" s="56"/>
      <c r="L5" s="56"/>
      <c r="M5" s="56"/>
    </row>
    <row r="6" spans="2:14" x14ac:dyDescent="0.25">
      <c r="C6" s="2" t="s">
        <v>31</v>
      </c>
    </row>
    <row r="7" spans="2:14" x14ac:dyDescent="0.25">
      <c r="C7" s="2" t="s">
        <v>100</v>
      </c>
    </row>
    <row r="8" spans="2:14" x14ac:dyDescent="0.25">
      <c r="C8" s="2"/>
      <c r="D8" t="s">
        <v>61</v>
      </c>
      <c r="I8" s="6">
        <f>SUM(Workings!$H47:I47)</f>
        <v>568235.66399999999</v>
      </c>
      <c r="J8" s="6">
        <f>SUM(Workings!$H47:J47)</f>
        <v>1101177.3233431699</v>
      </c>
      <c r="K8" s="6">
        <f>SUM(Workings!$H47:K47)</f>
        <v>1606743.7268653023</v>
      </c>
      <c r="L8" s="6">
        <f>SUM(Workings!$H47:L47)</f>
        <v>2078091.0606111377</v>
      </c>
      <c r="M8" s="6">
        <f>SUM(Workings!$H47:M47)</f>
        <v>2506664.5571366018</v>
      </c>
    </row>
    <row r="9" spans="2:14" x14ac:dyDescent="0.25">
      <c r="C9" s="2"/>
      <c r="D9" t="s">
        <v>141</v>
      </c>
      <c r="I9" s="6">
        <f>Workings!I40</f>
        <v>4326000</v>
      </c>
      <c r="J9" s="6">
        <f>Workings!J40</f>
        <v>3502000</v>
      </c>
      <c r="K9" s="6">
        <f>Workings!K40</f>
        <v>2678000</v>
      </c>
      <c r="L9" s="6">
        <f>Workings!L40</f>
        <v>1854000</v>
      </c>
      <c r="M9" s="6">
        <f>Workings!M40</f>
        <v>1030000</v>
      </c>
    </row>
    <row r="10" spans="2:14" x14ac:dyDescent="0.25">
      <c r="C10" s="2"/>
      <c r="D10" t="s">
        <v>35</v>
      </c>
      <c r="I10" s="6">
        <f>SUM(Workings!$H54:I54)</f>
        <v>180000</v>
      </c>
      <c r="J10" s="6">
        <f>SUM(Workings!$H54:J54)</f>
        <v>360000</v>
      </c>
      <c r="K10" s="6">
        <f>SUM(Workings!$H54:K54)</f>
        <v>535000</v>
      </c>
      <c r="L10" s="6">
        <f>SUM(Workings!$H54:L54)</f>
        <v>794000</v>
      </c>
      <c r="M10" s="6">
        <f>SUM(Workings!$H54:M54)</f>
        <v>1056500</v>
      </c>
    </row>
    <row r="11" spans="2:14" x14ac:dyDescent="0.25">
      <c r="D11" t="s">
        <v>116</v>
      </c>
      <c r="I11" s="6">
        <f>SUM(Workings!$H55:I55)</f>
        <v>170000</v>
      </c>
      <c r="J11" s="6">
        <f>SUM(Workings!$H55:J55)</f>
        <v>170000</v>
      </c>
      <c r="K11" s="6">
        <f>SUM(Workings!$H55:K55)</f>
        <v>260000</v>
      </c>
      <c r="L11" s="6">
        <f>SUM(Workings!$H55:L55)</f>
        <v>260000</v>
      </c>
      <c r="M11" s="6">
        <f>SUM(Workings!$H55:M55)</f>
        <v>350000</v>
      </c>
    </row>
    <row r="12" spans="2:14" ht="15.75" thickBot="1" x14ac:dyDescent="0.3">
      <c r="D12" t="s">
        <v>65</v>
      </c>
      <c r="I12" s="53">
        <f>-Workings!I72</f>
        <v>-106441.1888</v>
      </c>
      <c r="J12" s="53">
        <f>-Workings!J72</f>
        <v>-275647.09957810567</v>
      </c>
      <c r="K12" s="53">
        <f>-Workings!K72</f>
        <v>-527955.2238069491</v>
      </c>
      <c r="L12" s="53">
        <f>-Workings!L72</f>
        <v>-860724.92582732032</v>
      </c>
      <c r="M12" s="53">
        <f>-Workings!M72</f>
        <v>-1295905.4110652071</v>
      </c>
    </row>
    <row r="13" spans="2:14" ht="15.75" thickBot="1" x14ac:dyDescent="0.3">
      <c r="D13" t="s">
        <v>101</v>
      </c>
      <c r="I13" s="55">
        <f>SUM(I8:I12)</f>
        <v>5137794.4752000002</v>
      </c>
      <c r="J13" s="55">
        <f t="shared" ref="J13:M13" si="0">SUM(J8:J12)</f>
        <v>4857530.223765064</v>
      </c>
      <c r="K13" s="55">
        <f t="shared" si="0"/>
        <v>4551788.5030583534</v>
      </c>
      <c r="L13" s="55">
        <f t="shared" si="0"/>
        <v>4125366.1347838179</v>
      </c>
      <c r="M13" s="55">
        <f t="shared" si="0"/>
        <v>3647259.1460713949</v>
      </c>
    </row>
    <row r="15" spans="2:14" x14ac:dyDescent="0.25">
      <c r="C15" s="2" t="s">
        <v>102</v>
      </c>
    </row>
    <row r="16" spans="2:14" ht="15.75" thickBot="1" x14ac:dyDescent="0.3">
      <c r="D16" t="s">
        <v>103</v>
      </c>
      <c r="I16" s="53">
        <f>'Cashflow Statement'!I35</f>
        <v>5184927.5868633986</v>
      </c>
      <c r="J16" s="53">
        <f>'Cashflow Statement'!J35</f>
        <v>6704475.691326797</v>
      </c>
      <c r="K16" s="53">
        <f>'Cashflow Statement'!K35</f>
        <v>7874889.1330985092</v>
      </c>
      <c r="L16" s="53">
        <f>'Cashflow Statement'!L35</f>
        <v>9117307.5422008559</v>
      </c>
      <c r="M16" s="53">
        <f>'Cashflow Statement'!M35</f>
        <v>10279904.769977739</v>
      </c>
    </row>
    <row r="17" spans="2:21" x14ac:dyDescent="0.25">
      <c r="C17" s="2" t="s">
        <v>104</v>
      </c>
      <c r="I17" s="54">
        <f>SUM(I16:I16)</f>
        <v>5184927.5868633986</v>
      </c>
      <c r="J17" s="54">
        <f>SUM(J16:J16)</f>
        <v>6704475.691326797</v>
      </c>
      <c r="K17" s="54">
        <f>SUM(K16:K16)</f>
        <v>7874889.1330985092</v>
      </c>
      <c r="L17" s="54">
        <f>SUM(L16:L16)</f>
        <v>9117307.5422008559</v>
      </c>
      <c r="M17" s="54">
        <f>SUM(M16:M16)</f>
        <v>10279904.769977739</v>
      </c>
    </row>
    <row r="19" spans="2:21" x14ac:dyDescent="0.25">
      <c r="C19" s="2" t="s">
        <v>105</v>
      </c>
      <c r="I19" s="5"/>
      <c r="J19" s="5"/>
      <c r="K19" s="5"/>
      <c r="L19" s="5"/>
      <c r="M19" s="5"/>
    </row>
    <row r="20" spans="2:21" x14ac:dyDescent="0.25">
      <c r="D20" t="s">
        <v>106</v>
      </c>
      <c r="I20" s="6">
        <f>Workings!I109</f>
        <v>194250</v>
      </c>
      <c r="J20" s="6">
        <f>Workings!J109</f>
        <v>195055.14</v>
      </c>
      <c r="K20" s="6">
        <f>Workings!K109</f>
        <v>195055.14</v>
      </c>
      <c r="L20" s="6">
        <f>Workings!L109</f>
        <v>195055.14</v>
      </c>
      <c r="M20" s="6">
        <f>Workings!M109</f>
        <v>195055.14</v>
      </c>
    </row>
    <row r="21" spans="2:21" x14ac:dyDescent="0.25">
      <c r="D21" t="s">
        <v>107</v>
      </c>
      <c r="I21" s="32">
        <f>-'Income Statement'!I23</f>
        <v>236953.94328000006</v>
      </c>
      <c r="J21" s="32">
        <f>-'Income Statement'!J23</f>
        <v>362679.15172938223</v>
      </c>
      <c r="K21" s="32">
        <f>-'Income Statement'!K23</f>
        <v>377429.62818039407</v>
      </c>
      <c r="L21" s="32">
        <f>-'Income Statement'!L23</f>
        <v>401692.76905744313</v>
      </c>
      <c r="M21" s="32">
        <f>-'Income Statement'!M23</f>
        <v>423752.53305903851</v>
      </c>
    </row>
    <row r="22" spans="2:21" x14ac:dyDescent="0.25">
      <c r="D22" t="s">
        <v>150</v>
      </c>
      <c r="I22" s="32">
        <f>-'Income Statement'!I19</f>
        <v>394923.23880000005</v>
      </c>
      <c r="J22" s="32">
        <f>-'Income Statement'!J19</f>
        <v>604465.25288230367</v>
      </c>
      <c r="K22" s="32">
        <f>-'Income Statement'!K19</f>
        <v>629049.38030065678</v>
      </c>
      <c r="L22" s="32">
        <f>-'Income Statement'!L19</f>
        <v>669487.94842907181</v>
      </c>
      <c r="M22" s="32">
        <f>-'Income Statement'!M19</f>
        <v>706254.22176506417</v>
      </c>
    </row>
    <row r="23" spans="2:21" ht="15.75" thickBot="1" x14ac:dyDescent="0.3">
      <c r="D23" t="s">
        <v>117</v>
      </c>
      <c r="I23" s="53"/>
      <c r="J23" s="53"/>
      <c r="K23" s="53"/>
      <c r="L23" s="53">
        <f>Workings!H104</f>
        <v>1069345.9305092818</v>
      </c>
      <c r="M23" s="53"/>
    </row>
    <row r="24" spans="2:21" x14ac:dyDescent="0.25">
      <c r="I24" s="54">
        <f>SUM(I20:I23)</f>
        <v>826127.18208000017</v>
      </c>
      <c r="J24" s="54">
        <f>SUM(J20:J23)</f>
        <v>1162199.5446116859</v>
      </c>
      <c r="K24" s="54">
        <f>SUM(K20:K23)</f>
        <v>1201534.148481051</v>
      </c>
      <c r="L24" s="54">
        <f>SUM(L20:L23)</f>
        <v>2335581.7879957967</v>
      </c>
      <c r="M24" s="54">
        <f>SUM(M20:M23)</f>
        <v>1325061.8948241028</v>
      </c>
    </row>
    <row r="25" spans="2:21" ht="15.75" thickBot="1" x14ac:dyDescent="0.3">
      <c r="P25" s="63"/>
      <c r="U25" s="44"/>
    </row>
    <row r="26" spans="2:21" ht="15.75" thickBot="1" x14ac:dyDescent="0.3">
      <c r="C26" s="2" t="s">
        <v>109</v>
      </c>
      <c r="I26" s="57">
        <f>I17-I24</f>
        <v>4358800.4047833979</v>
      </c>
      <c r="J26" s="57">
        <f>J17-J24</f>
        <v>5542276.1467151111</v>
      </c>
      <c r="K26" s="57">
        <f>K17-K24</f>
        <v>6673354.9846174587</v>
      </c>
      <c r="L26" s="57">
        <f>L17-L24</f>
        <v>6781725.7542050593</v>
      </c>
      <c r="M26" s="57">
        <f>M17-M24</f>
        <v>8954842.8751536366</v>
      </c>
      <c r="P26" s="63"/>
      <c r="U26" s="44"/>
    </row>
    <row r="27" spans="2:21" ht="15.75" thickBot="1" x14ac:dyDescent="0.3">
      <c r="P27" s="22"/>
    </row>
    <row r="28" spans="2:21" ht="15.75" thickBot="1" x14ac:dyDescent="0.3">
      <c r="C28" s="2" t="s">
        <v>110</v>
      </c>
      <c r="I28" s="100">
        <f>I26+I13</f>
        <v>9496594.8799833991</v>
      </c>
      <c r="J28" s="100">
        <f>J26+J13</f>
        <v>10399806.370480176</v>
      </c>
      <c r="K28" s="100">
        <f>K26+K13</f>
        <v>11225143.487675812</v>
      </c>
      <c r="L28" s="100">
        <f>L26+L13</f>
        <v>10907091.888988877</v>
      </c>
      <c r="M28" s="100">
        <f>M26+M13</f>
        <v>12602102.021225031</v>
      </c>
    </row>
    <row r="29" spans="2:21" ht="15.75" thickTop="1" x14ac:dyDescent="0.25"/>
    <row r="30" spans="2:21" x14ac:dyDescent="0.25">
      <c r="B30" s="2" t="s">
        <v>111</v>
      </c>
    </row>
    <row r="31" spans="2:21" x14ac:dyDescent="0.25">
      <c r="D31" t="s">
        <v>112</v>
      </c>
      <c r="I31" s="6">
        <f>Workings!$I$87</f>
        <v>5392069.919999999</v>
      </c>
      <c r="J31" s="6">
        <f>Workings!$I$87</f>
        <v>5392069.919999999</v>
      </c>
      <c r="K31" s="6">
        <f>Workings!$I$87</f>
        <v>5392069.919999999</v>
      </c>
      <c r="L31" s="6">
        <f>Workings!$I$87</f>
        <v>5392069.919999999</v>
      </c>
      <c r="M31" s="6">
        <f>Workings!$I$87</f>
        <v>5392069.919999999</v>
      </c>
    </row>
    <row r="32" spans="2:21" ht="15.75" thickBot="1" x14ac:dyDescent="0.3">
      <c r="D32" t="s">
        <v>113</v>
      </c>
      <c r="I32" s="53">
        <f>'Income Statement'!I26</f>
        <v>947815.77312000026</v>
      </c>
      <c r="J32" s="53">
        <f>'Income Statement'!J26</f>
        <v>2398532.3800375294</v>
      </c>
      <c r="K32" s="53">
        <f>'Income Statement'!K26</f>
        <v>3908250.8927591057</v>
      </c>
      <c r="L32" s="53">
        <f>'Income Statement'!L26</f>
        <v>5515021.9689888777</v>
      </c>
      <c r="M32" s="53">
        <f>'Income Statement'!M26</f>
        <v>7210032.1012250315</v>
      </c>
    </row>
    <row r="33" spans="3:13" ht="15.75" thickBot="1" x14ac:dyDescent="0.3">
      <c r="C33" s="2" t="s">
        <v>115</v>
      </c>
      <c r="I33" s="55">
        <f>SUM(I31:I32)</f>
        <v>6339885.693119999</v>
      </c>
      <c r="J33" s="55">
        <f t="shared" ref="J33:M33" si="1">SUM(J31:J32)</f>
        <v>7790602.3000375284</v>
      </c>
      <c r="K33" s="55">
        <f t="shared" si="1"/>
        <v>9300320.8127591051</v>
      </c>
      <c r="L33" s="55">
        <f t="shared" si="1"/>
        <v>10907091.888988877</v>
      </c>
      <c r="M33" s="55">
        <f t="shared" si="1"/>
        <v>12602102.021225031</v>
      </c>
    </row>
    <row r="35" spans="3:13" x14ac:dyDescent="0.25">
      <c r="C35" s="2" t="s">
        <v>114</v>
      </c>
    </row>
    <row r="36" spans="3:13" x14ac:dyDescent="0.25">
      <c r="D36" t="s">
        <v>117</v>
      </c>
      <c r="I36" s="6">
        <f>Workings!H101</f>
        <v>3156709.1868633982</v>
      </c>
      <c r="J36" s="6">
        <f>Workings!H102</f>
        <v>2609204.0704426463</v>
      </c>
      <c r="K36" s="6">
        <f>Workings!H103</f>
        <v>1924822.6749167065</v>
      </c>
      <c r="L36" s="6"/>
      <c r="M36" s="6"/>
    </row>
    <row r="37" spans="3:13" ht="15.75" thickBot="1" x14ac:dyDescent="0.3">
      <c r="I37" s="32"/>
      <c r="J37" s="32"/>
      <c r="K37" s="32"/>
      <c r="L37" s="32"/>
      <c r="M37" s="32"/>
    </row>
    <row r="38" spans="3:13" ht="15.75" thickBot="1" x14ac:dyDescent="0.3">
      <c r="C38" s="2" t="s">
        <v>118</v>
      </c>
      <c r="I38" s="36">
        <f>SUM(I36:I37)</f>
        <v>3156709.1868633982</v>
      </c>
      <c r="J38" s="36">
        <f t="shared" ref="J38:M38" si="2">SUM(J36:J37)</f>
        <v>2609204.0704426463</v>
      </c>
      <c r="K38" s="36">
        <f t="shared" si="2"/>
        <v>1924822.6749167065</v>
      </c>
      <c r="L38" s="36">
        <f t="shared" si="2"/>
        <v>0</v>
      </c>
      <c r="M38" s="36">
        <f t="shared" si="2"/>
        <v>0</v>
      </c>
    </row>
    <row r="39" spans="3:13" ht="15.75" thickBot="1" x14ac:dyDescent="0.3">
      <c r="I39" s="59"/>
      <c r="J39" s="59"/>
      <c r="K39" s="59"/>
      <c r="L39" s="59"/>
      <c r="M39" s="59"/>
    </row>
    <row r="40" spans="3:13" ht="15.75" thickBot="1" x14ac:dyDescent="0.3">
      <c r="C40" s="2" t="s">
        <v>110</v>
      </c>
      <c r="I40" s="100">
        <f>I33+I36</f>
        <v>9496594.8799833972</v>
      </c>
      <c r="J40" s="100">
        <f t="shared" ref="J40:M40" si="3">J33+J36</f>
        <v>10399806.370480174</v>
      </c>
      <c r="K40" s="100">
        <f t="shared" si="3"/>
        <v>11225143.487675812</v>
      </c>
      <c r="L40" s="100">
        <f t="shared" si="3"/>
        <v>10907091.888988877</v>
      </c>
      <c r="M40" s="100">
        <f t="shared" si="3"/>
        <v>12602102.021225031</v>
      </c>
    </row>
    <row r="41" spans="3:13" ht="15.75" thickTop="1" x14ac:dyDescent="0.25"/>
    <row r="42" spans="3:13" x14ac:dyDescent="0.25">
      <c r="C42" s="2" t="s">
        <v>119</v>
      </c>
      <c r="I42" t="b">
        <f>I28=I40</f>
        <v>1</v>
      </c>
      <c r="J42" t="b">
        <f t="shared" ref="J42:M42" si="4">J28=J40</f>
        <v>1</v>
      </c>
      <c r="K42" t="b">
        <f t="shared" si="4"/>
        <v>1</v>
      </c>
      <c r="L42" t="b">
        <f t="shared" si="4"/>
        <v>1</v>
      </c>
      <c r="M42" t="b">
        <f t="shared" si="4"/>
        <v>1</v>
      </c>
    </row>
    <row r="43" spans="3:13" x14ac:dyDescent="0.25">
      <c r="I43" s="4">
        <f>I40-I28</f>
        <v>0</v>
      </c>
      <c r="J43" s="103">
        <f t="shared" ref="J43:M43" si="5">J40-J28</f>
        <v>0</v>
      </c>
      <c r="K43" s="4">
        <f t="shared" si="5"/>
        <v>0</v>
      </c>
      <c r="L43" s="4">
        <f t="shared" si="5"/>
        <v>0</v>
      </c>
      <c r="M43" s="4">
        <f t="shared" si="5"/>
        <v>0</v>
      </c>
    </row>
    <row r="45" spans="3:13" x14ac:dyDescent="0.25">
      <c r="I45" s="17"/>
    </row>
    <row r="46" spans="3:13" x14ac:dyDescent="0.25">
      <c r="J46" s="63"/>
    </row>
  </sheetData>
  <hyperlinks>
    <hyperlink ref="N1" location="'Table of Content'!A1" display="Back" xr:uid="{E133FFBC-76BF-436F-960E-C8683B240B89}"/>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Drop Down 1">
              <controlPr defaultSize="0" autoLine="0" autoPict="0">
                <anchor moveWithCells="1">
                  <from>
                    <xdr:col>2</xdr:col>
                    <xdr:colOff>0</xdr:colOff>
                    <xdr:row>0</xdr:row>
                    <xdr:rowOff>9525</xdr:rowOff>
                  </from>
                  <to>
                    <xdr:col>3</xdr:col>
                    <xdr:colOff>219075</xdr:colOff>
                    <xdr:row>1</xdr:row>
                    <xdr:rowOff>66675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D8A2D-282A-4E96-AC2D-F10A563335EF}">
  <sheetPr>
    <tabColor theme="2" tint="-0.499984740745262"/>
  </sheetPr>
  <dimension ref="B1:N35"/>
  <sheetViews>
    <sheetView showGridLines="0" zoomScale="110" zoomScaleNormal="110" workbookViewId="0">
      <pane ySplit="4" topLeftCell="A13" activePane="bottomLeft" state="frozen"/>
      <selection activeCell="L25" sqref="L25"/>
      <selection pane="bottomLeft" activeCell="N17" sqref="N17"/>
    </sheetView>
  </sheetViews>
  <sheetFormatPr defaultColWidth="8.85546875" defaultRowHeight="15" x14ac:dyDescent="0.25"/>
  <cols>
    <col min="9" max="9" width="14.140625" bestFit="1" customWidth="1"/>
    <col min="10" max="10" width="12.42578125" bestFit="1" customWidth="1"/>
    <col min="11" max="13" width="14" bestFit="1" customWidth="1"/>
  </cols>
  <sheetData>
    <row r="1" spans="2:14" x14ac:dyDescent="0.25">
      <c r="B1" s="3" t="s">
        <v>274</v>
      </c>
      <c r="L1" s="105" t="s">
        <v>278</v>
      </c>
      <c r="M1" s="106">
        <f ca="1">TODAY()</f>
        <v>45934</v>
      </c>
      <c r="N1" s="104" t="s">
        <v>275</v>
      </c>
    </row>
    <row r="3" spans="2:14" ht="18.75" x14ac:dyDescent="0.3">
      <c r="B3" s="94" t="s">
        <v>120</v>
      </c>
      <c r="C3" s="95"/>
      <c r="D3" s="95"/>
      <c r="E3" s="95"/>
      <c r="F3" s="95"/>
      <c r="G3" s="95"/>
      <c r="H3" s="95"/>
      <c r="I3" s="95"/>
      <c r="J3" s="95"/>
      <c r="K3" s="95"/>
      <c r="L3" s="95"/>
      <c r="M3" s="95"/>
    </row>
    <row r="4" spans="2:14" x14ac:dyDescent="0.25">
      <c r="H4" s="8">
        <v>0</v>
      </c>
      <c r="I4" s="9">
        <v>1</v>
      </c>
      <c r="J4" s="10">
        <v>2</v>
      </c>
      <c r="K4" s="11">
        <v>3</v>
      </c>
      <c r="L4" s="12">
        <v>4</v>
      </c>
      <c r="M4" s="13">
        <v>5</v>
      </c>
    </row>
    <row r="5" spans="2:14" x14ac:dyDescent="0.25">
      <c r="B5" s="2" t="s">
        <v>128</v>
      </c>
    </row>
    <row r="6" spans="2:14" x14ac:dyDescent="0.25">
      <c r="C6" t="s">
        <v>121</v>
      </c>
      <c r="I6" s="6">
        <f>'Income Statement'!I21</f>
        <v>1184769.7164000003</v>
      </c>
      <c r="J6" s="6">
        <f>'Income Statement'!J21</f>
        <v>1813395.758646911</v>
      </c>
      <c r="K6" s="6">
        <f>'Income Statement'!K21</f>
        <v>1887148.1409019702</v>
      </c>
      <c r="L6" s="6">
        <f>'Income Statement'!L21</f>
        <v>2008463.8452872154</v>
      </c>
      <c r="M6" s="6">
        <f>'Income Statement'!M21</f>
        <v>2118762.6652951925</v>
      </c>
    </row>
    <row r="7" spans="2:14" x14ac:dyDescent="0.25">
      <c r="C7" t="s">
        <v>122</v>
      </c>
      <c r="I7" s="5"/>
      <c r="J7" s="5"/>
      <c r="K7" s="5"/>
      <c r="L7" s="5"/>
      <c r="M7" s="5"/>
    </row>
    <row r="8" spans="2:14" x14ac:dyDescent="0.25">
      <c r="D8" t="s">
        <v>152</v>
      </c>
      <c r="I8" s="23"/>
      <c r="J8" s="6">
        <f>Workings!J19</f>
        <v>824000</v>
      </c>
      <c r="K8" s="6">
        <f>Workings!K19</f>
        <v>824000</v>
      </c>
      <c r="L8" s="6">
        <f>Workings!L19</f>
        <v>824000</v>
      </c>
      <c r="M8" s="6">
        <f>Workings!M19</f>
        <v>824000</v>
      </c>
    </row>
    <row r="9" spans="2:14" x14ac:dyDescent="0.25">
      <c r="D9" t="s">
        <v>64</v>
      </c>
      <c r="I9" s="6">
        <f>-'Income Statement'!I15</f>
        <v>106441.1888</v>
      </c>
      <c r="J9" s="6">
        <f>-'Income Statement'!J15</f>
        <v>169205.91077810567</v>
      </c>
      <c r="K9" s="6">
        <f>-'Income Statement'!K15</f>
        <v>252308.1242288434</v>
      </c>
      <c r="L9" s="6">
        <f>-'Income Statement'!L15</f>
        <v>332769.70202037127</v>
      </c>
      <c r="M9" s="6">
        <f>-'Income Statement'!M15</f>
        <v>435180.48523788672</v>
      </c>
    </row>
    <row r="10" spans="2:14" x14ac:dyDescent="0.25">
      <c r="D10" t="s">
        <v>123</v>
      </c>
      <c r="I10" s="32">
        <f>IFERROR(-'Income Statement'!I19,"")</f>
        <v>394923.23880000005</v>
      </c>
      <c r="J10" s="32">
        <f>IFERROR(-'Income Statement'!J19,"")</f>
        <v>604465.25288230367</v>
      </c>
      <c r="K10" s="32">
        <f>IFERROR(-'Income Statement'!K19,"")</f>
        <v>629049.38030065678</v>
      </c>
      <c r="L10" s="32">
        <f>IFERROR(-'Income Statement'!L19,"")</f>
        <v>669487.94842907181</v>
      </c>
      <c r="M10" s="32">
        <f>IFERROR(-'Income Statement'!M19,"")</f>
        <v>706254.22176506417</v>
      </c>
    </row>
    <row r="11" spans="2:14" ht="15.75" thickBot="1" x14ac:dyDescent="0.3">
      <c r="D11" t="s">
        <v>149</v>
      </c>
      <c r="I11" s="53">
        <f>Workings!I18</f>
        <v>718942.65599999996</v>
      </c>
      <c r="J11" s="53">
        <f>Workings!J18</f>
        <v>631341.83737267973</v>
      </c>
      <c r="K11" s="53">
        <f>Workings!K18</f>
        <v>521840.81408852927</v>
      </c>
      <c r="L11" s="53">
        <f>Workings!L18</f>
        <v>384964.53498334135</v>
      </c>
      <c r="M11" s="53">
        <f>Workings!M18</f>
        <v>213869.18610185638</v>
      </c>
    </row>
    <row r="12" spans="2:14" x14ac:dyDescent="0.25">
      <c r="I12" s="60">
        <f>SUM(I6:I11)</f>
        <v>2405076.8000000003</v>
      </c>
      <c r="J12" s="60">
        <f t="shared" ref="J12:M12" si="0">SUM(J6:J11)</f>
        <v>4042408.7596800001</v>
      </c>
      <c r="K12" s="60">
        <f t="shared" si="0"/>
        <v>4114346.45952</v>
      </c>
      <c r="L12" s="60">
        <f t="shared" si="0"/>
        <v>4219686.0307200002</v>
      </c>
      <c r="M12" s="60">
        <f t="shared" si="0"/>
        <v>4298066.5583999995</v>
      </c>
    </row>
    <row r="13" spans="2:14" x14ac:dyDescent="0.25">
      <c r="B13" s="2" t="s">
        <v>124</v>
      </c>
      <c r="I13" s="5"/>
      <c r="J13" s="5"/>
      <c r="K13" s="5"/>
      <c r="L13" s="5"/>
      <c r="M13" s="5"/>
    </row>
    <row r="14" spans="2:14" ht="15.75" thickBot="1" x14ac:dyDescent="0.3">
      <c r="B14" s="2"/>
      <c r="C14" t="s">
        <v>106</v>
      </c>
      <c r="I14" s="32">
        <f>-'Balance Sheet'!H20</f>
        <v>0</v>
      </c>
      <c r="J14" s="32">
        <f>-'Balance Sheet'!I20</f>
        <v>-194250</v>
      </c>
      <c r="K14" s="32">
        <f>-'Balance Sheet'!J20</f>
        <v>-195055.14</v>
      </c>
      <c r="L14" s="32">
        <f>-'Balance Sheet'!K20</f>
        <v>-195055.14</v>
      </c>
      <c r="M14" s="32">
        <f>-'Balance Sheet'!L20</f>
        <v>-195055.14</v>
      </c>
    </row>
    <row r="15" spans="2:14" x14ac:dyDescent="0.25">
      <c r="I15" s="60">
        <f>SUM(I14:I14)</f>
        <v>0</v>
      </c>
      <c r="J15" s="60">
        <f>SUM(J14:J14)</f>
        <v>-194250</v>
      </c>
      <c r="K15" s="60">
        <f>SUM(K14:K14)</f>
        <v>-195055.14</v>
      </c>
      <c r="L15" s="60">
        <f>SUM(L14:L14)</f>
        <v>-195055.14</v>
      </c>
      <c r="M15" s="60">
        <f>SUM(M14:M14)</f>
        <v>-195055.14</v>
      </c>
    </row>
    <row r="16" spans="2:14" x14ac:dyDescent="0.25">
      <c r="C16" t="s">
        <v>125</v>
      </c>
      <c r="I16" s="23">
        <f>'Income Statement'!H19</f>
        <v>0</v>
      </c>
      <c r="J16" s="6">
        <f>'Income Statement'!I19</f>
        <v>-394923.23880000005</v>
      </c>
      <c r="K16" s="6">
        <f>'Income Statement'!J19</f>
        <v>-604465.25288230367</v>
      </c>
      <c r="L16" s="6">
        <f>'Income Statement'!K19</f>
        <v>-629049.38030065678</v>
      </c>
      <c r="M16" s="6">
        <f>'Income Statement'!L19</f>
        <v>-669487.94842907181</v>
      </c>
    </row>
    <row r="17" spans="2:13" ht="15.75" thickBot="1" x14ac:dyDescent="0.3">
      <c r="I17" s="61"/>
      <c r="J17" s="61"/>
      <c r="K17" s="61"/>
      <c r="L17" s="61"/>
      <c r="M17" s="61"/>
    </row>
    <row r="18" spans="2:13" ht="15.75" thickBot="1" x14ac:dyDescent="0.3">
      <c r="B18" s="2" t="s">
        <v>126</v>
      </c>
      <c r="I18" s="101">
        <f>I12+I15+I16</f>
        <v>2405076.8000000003</v>
      </c>
      <c r="J18" s="101">
        <f t="shared" ref="J18:M18" si="1">J12+J15+J16</f>
        <v>3453235.5208800002</v>
      </c>
      <c r="K18" s="101">
        <f t="shared" si="1"/>
        <v>3314826.0666376962</v>
      </c>
      <c r="L18" s="101">
        <f t="shared" si="1"/>
        <v>3395581.5104193431</v>
      </c>
      <c r="M18" s="101">
        <f t="shared" si="1"/>
        <v>3433523.4699709276</v>
      </c>
    </row>
    <row r="20" spans="2:13" x14ac:dyDescent="0.25">
      <c r="B20" s="2" t="s">
        <v>127</v>
      </c>
      <c r="I20" s="5"/>
      <c r="J20" s="5"/>
      <c r="K20" s="5"/>
      <c r="L20" s="5"/>
      <c r="M20" s="5"/>
    </row>
    <row r="21" spans="2:13" x14ac:dyDescent="0.25">
      <c r="C21" t="s">
        <v>66</v>
      </c>
      <c r="I21" s="6">
        <f>-(Workings!I40+Workings!I45+Workings!I54+Workings!I55)</f>
        <v>-5064500</v>
      </c>
      <c r="J21" s="6">
        <f>-(Workings!J45+Workings!J54+Workings!J55)</f>
        <v>-555106.19999999995</v>
      </c>
      <c r="K21" s="6">
        <f>-(Workings!K45+Workings!K54+Workings!K55)</f>
        <v>-640106.19999999995</v>
      </c>
      <c r="L21" s="6">
        <f>-(Workings!L45+Workings!L54+Workings!L55)</f>
        <v>-634106.19999999995</v>
      </c>
      <c r="M21" s="6">
        <f>-(Workings!M45+Workings!M54+Workings!M55)</f>
        <v>-727606.2</v>
      </c>
    </row>
    <row r="22" spans="2:13" ht="15.75" thickBot="1" x14ac:dyDescent="0.3">
      <c r="C22" t="s">
        <v>151</v>
      </c>
      <c r="I22" s="53">
        <f>Workings!I109</f>
        <v>194250</v>
      </c>
      <c r="J22" s="53">
        <f>Workings!J109</f>
        <v>195055.14</v>
      </c>
      <c r="K22" s="53">
        <f>Workings!K109</f>
        <v>195055.14</v>
      </c>
      <c r="L22" s="53">
        <f>Workings!L109</f>
        <v>195055.14</v>
      </c>
      <c r="M22" s="53">
        <f>Workings!M109</f>
        <v>195055.14</v>
      </c>
    </row>
    <row r="23" spans="2:13" ht="15.75" thickBot="1" x14ac:dyDescent="0.3">
      <c r="B23" s="2" t="s">
        <v>129</v>
      </c>
      <c r="I23" s="101">
        <f>SUM(I21:I22)</f>
        <v>-4870250</v>
      </c>
      <c r="J23" s="101">
        <f>SUM(J21:J22)</f>
        <v>-360051.05999999994</v>
      </c>
      <c r="K23" s="101">
        <f>SUM(K21:K22)</f>
        <v>-445051.05999999994</v>
      </c>
      <c r="L23" s="101">
        <f>SUM(L21:L22)</f>
        <v>-439051.05999999994</v>
      </c>
      <c r="M23" s="101">
        <f>SUM(M21:M22)</f>
        <v>-532551.05999999994</v>
      </c>
    </row>
    <row r="25" spans="2:13" x14ac:dyDescent="0.25">
      <c r="B25" s="2" t="s">
        <v>130</v>
      </c>
      <c r="I25" s="5"/>
      <c r="J25" s="5"/>
      <c r="K25" s="5"/>
      <c r="L25" s="5"/>
      <c r="M25" s="5"/>
    </row>
    <row r="26" spans="2:13" x14ac:dyDescent="0.25">
      <c r="C26" t="s">
        <v>112</v>
      </c>
      <c r="I26" s="6">
        <f>Workings!I87</f>
        <v>5392069.919999999</v>
      </c>
      <c r="J26" s="5"/>
      <c r="K26" s="5"/>
      <c r="L26" s="5"/>
      <c r="M26" s="5"/>
    </row>
    <row r="27" spans="2:13" x14ac:dyDescent="0.25">
      <c r="C27" t="s">
        <v>131</v>
      </c>
      <c r="I27" s="6">
        <f>Workings!I88</f>
        <v>3594713.28</v>
      </c>
      <c r="J27" s="5"/>
      <c r="K27" s="5"/>
      <c r="L27" s="5"/>
      <c r="M27" s="5"/>
    </row>
    <row r="28" spans="2:13" x14ac:dyDescent="0.25">
      <c r="C28" t="s">
        <v>132</v>
      </c>
      <c r="I28" s="6">
        <f>'Income Statement'!H23</f>
        <v>0</v>
      </c>
      <c r="J28" s="6">
        <f>'Income Statement'!I23</f>
        <v>-236953.94328000006</v>
      </c>
      <c r="K28" s="6">
        <f>'Income Statement'!J23</f>
        <v>-362679.15172938223</v>
      </c>
      <c r="L28" s="6">
        <f>'Income Statement'!K23</f>
        <v>-377429.62818039407</v>
      </c>
      <c r="M28" s="6">
        <f>'Income Statement'!L23</f>
        <v>-401692.76905744313</v>
      </c>
    </row>
    <row r="29" spans="2:13" x14ac:dyDescent="0.25">
      <c r="C29" t="s">
        <v>137</v>
      </c>
      <c r="I29" s="6">
        <f>-Workings!$E101</f>
        <v>-1336682.4131366014</v>
      </c>
      <c r="J29" s="6">
        <f>-Workings!$E101</f>
        <v>-1336682.4131366014</v>
      </c>
      <c r="K29" s="6">
        <f>-Workings!$E101</f>
        <v>-1336682.4131366014</v>
      </c>
      <c r="L29" s="6">
        <f>-Workings!$E101</f>
        <v>-1336682.4131366014</v>
      </c>
      <c r="M29" s="6">
        <f>-Workings!$E101</f>
        <v>-1336682.4131366014</v>
      </c>
    </row>
    <row r="30" spans="2:13" ht="15.75" thickBot="1" x14ac:dyDescent="0.3">
      <c r="I30" s="61"/>
      <c r="J30" s="61"/>
      <c r="K30" s="61"/>
      <c r="L30" s="61"/>
      <c r="M30" s="61"/>
    </row>
    <row r="31" spans="2:13" ht="15.75" thickBot="1" x14ac:dyDescent="0.3">
      <c r="B31" s="2" t="s">
        <v>133</v>
      </c>
      <c r="I31" s="101">
        <f>SUM(I26:I30)</f>
        <v>7650100.7868633978</v>
      </c>
      <c r="J31" s="101">
        <f t="shared" ref="J31:M31" si="2">SUM(J26:J30)</f>
        <v>-1573636.3564166015</v>
      </c>
      <c r="K31" s="101">
        <f t="shared" si="2"/>
        <v>-1699361.5648659836</v>
      </c>
      <c r="L31" s="101">
        <f t="shared" si="2"/>
        <v>-1714112.0413169954</v>
      </c>
      <c r="M31" s="101">
        <f t="shared" si="2"/>
        <v>-1738375.1821940446</v>
      </c>
    </row>
    <row r="33" spans="2:13" x14ac:dyDescent="0.25">
      <c r="B33" s="2" t="s">
        <v>134</v>
      </c>
      <c r="I33" s="41">
        <f>I18+I23+I31</f>
        <v>5184927.5868633986</v>
      </c>
      <c r="J33" s="41">
        <f>J18+J23+J31</f>
        <v>1519548.1044633987</v>
      </c>
      <c r="K33" s="41">
        <f>K18+K23+K31</f>
        <v>1170413.4417717126</v>
      </c>
      <c r="L33" s="41">
        <f>L18+L23+L31</f>
        <v>1242418.4091023477</v>
      </c>
      <c r="M33" s="41">
        <f>M18+M23+M31</f>
        <v>1162597.2277768829</v>
      </c>
    </row>
    <row r="34" spans="2:13" ht="15.75" thickBot="1" x14ac:dyDescent="0.3">
      <c r="B34" s="2" t="s">
        <v>135</v>
      </c>
      <c r="I34" s="53">
        <v>0</v>
      </c>
      <c r="J34" s="73">
        <f>I35</f>
        <v>5184927.5868633986</v>
      </c>
      <c r="K34" s="73">
        <f t="shared" ref="K34:M34" si="3">J35</f>
        <v>6704475.691326797</v>
      </c>
      <c r="L34" s="73">
        <f t="shared" si="3"/>
        <v>7874889.1330985092</v>
      </c>
      <c r="M34" s="73">
        <f t="shared" si="3"/>
        <v>9117307.5422008559</v>
      </c>
    </row>
    <row r="35" spans="2:13" ht="15.75" thickBot="1" x14ac:dyDescent="0.3">
      <c r="B35" s="2" t="s">
        <v>136</v>
      </c>
      <c r="I35" s="101">
        <f>SUM(I33:I34)</f>
        <v>5184927.5868633986</v>
      </c>
      <c r="J35" s="101">
        <f>SUM(J33:J34)</f>
        <v>6704475.691326797</v>
      </c>
      <c r="K35" s="101">
        <f t="shared" ref="K35:M35" si="4">SUM(K33:K34)</f>
        <v>7874889.1330985092</v>
      </c>
      <c r="L35" s="101">
        <f t="shared" si="4"/>
        <v>9117307.5422008559</v>
      </c>
      <c r="M35" s="101">
        <f t="shared" si="4"/>
        <v>10279904.769977739</v>
      </c>
    </row>
  </sheetData>
  <hyperlinks>
    <hyperlink ref="N1" location="'Table of Content'!A1" display="Back" xr:uid="{0B40E34C-2201-4A8E-815A-659719E7B9E1}"/>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Drop Down 1">
              <controlPr defaultSize="0" autoLine="0" autoPict="0">
                <anchor moveWithCells="1">
                  <from>
                    <xdr:col>2</xdr:col>
                    <xdr:colOff>9525</xdr:colOff>
                    <xdr:row>0</xdr:row>
                    <xdr:rowOff>9525</xdr:rowOff>
                  </from>
                  <to>
                    <xdr:col>3</xdr:col>
                    <xdr:colOff>238125</xdr:colOff>
                    <xdr:row>1</xdr:row>
                    <xdr:rowOff>66675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7A42-41A9-4607-A495-93C6884A8E0B}">
  <sheetPr>
    <tabColor theme="2" tint="-0.499984740745262"/>
  </sheetPr>
  <dimension ref="B1:N57"/>
  <sheetViews>
    <sheetView showGridLines="0" zoomScaleNormal="100" workbookViewId="0">
      <pane ySplit="4" topLeftCell="A12" activePane="bottomLeft" state="frozen"/>
      <selection activeCell="L25" sqref="L25"/>
      <selection pane="bottomLeft" activeCell="L2" sqref="L2"/>
    </sheetView>
  </sheetViews>
  <sheetFormatPr defaultColWidth="8.85546875" defaultRowHeight="15" x14ac:dyDescent="0.25"/>
  <cols>
    <col min="2" max="2" width="13.28515625" customWidth="1"/>
    <col min="3" max="3" width="9.140625" customWidth="1"/>
    <col min="4" max="4" width="6.42578125" customWidth="1"/>
    <col min="9" max="9" width="14.140625" bestFit="1" customWidth="1"/>
    <col min="10" max="11" width="13.42578125" bestFit="1" customWidth="1"/>
    <col min="12" max="12" width="14" bestFit="1" customWidth="1"/>
    <col min="13" max="13" width="14.140625" customWidth="1"/>
  </cols>
  <sheetData>
    <row r="1" spans="2:14" x14ac:dyDescent="0.25">
      <c r="B1" s="3" t="s">
        <v>274</v>
      </c>
      <c r="L1" s="105" t="s">
        <v>278</v>
      </c>
      <c r="M1" s="106">
        <f ca="1">TODAY()</f>
        <v>45934</v>
      </c>
      <c r="N1" s="104" t="s">
        <v>275</v>
      </c>
    </row>
    <row r="3" spans="2:14" ht="18.75" x14ac:dyDescent="0.3">
      <c r="B3" s="94" t="s">
        <v>153</v>
      </c>
      <c r="C3" s="95"/>
      <c r="D3" s="95"/>
      <c r="E3" s="95"/>
      <c r="F3" s="95"/>
      <c r="G3" s="95"/>
      <c r="H3" s="95"/>
      <c r="I3" s="95"/>
      <c r="J3" s="95"/>
      <c r="K3" s="95"/>
      <c r="L3" s="95"/>
      <c r="M3" s="95"/>
    </row>
    <row r="4" spans="2:14" x14ac:dyDescent="0.25">
      <c r="H4" s="8">
        <v>0</v>
      </c>
      <c r="I4" s="9">
        <v>1</v>
      </c>
      <c r="J4" s="10">
        <v>2</v>
      </c>
      <c r="K4" s="11">
        <v>3</v>
      </c>
      <c r="L4" s="12">
        <v>4</v>
      </c>
      <c r="M4" s="13">
        <v>5</v>
      </c>
    </row>
    <row r="5" spans="2:14" x14ac:dyDescent="0.25">
      <c r="B5" s="2" t="s">
        <v>154</v>
      </c>
    </row>
    <row r="6" spans="2:14" x14ac:dyDescent="0.25">
      <c r="B6" s="67" t="s">
        <v>155</v>
      </c>
    </row>
    <row r="7" spans="2:14" x14ac:dyDescent="0.25">
      <c r="C7" t="s">
        <v>156</v>
      </c>
      <c r="I7" s="6">
        <f>'Income Statement'!I21</f>
        <v>1184769.7164000003</v>
      </c>
      <c r="J7" s="6">
        <f>'Income Statement'!J21</f>
        <v>1813395.758646911</v>
      </c>
      <c r="K7" s="6">
        <f>'Income Statement'!K21</f>
        <v>1887148.1409019702</v>
      </c>
      <c r="L7" s="6">
        <f>'Income Statement'!L21</f>
        <v>2008463.8452872154</v>
      </c>
      <c r="M7" s="6">
        <f>'Income Statement'!M21</f>
        <v>2118762.6652951925</v>
      </c>
    </row>
    <row r="8" spans="2:14" x14ac:dyDescent="0.25">
      <c r="I8" s="5"/>
      <c r="J8" s="5"/>
      <c r="K8" s="5"/>
      <c r="L8" s="5"/>
      <c r="M8" s="5"/>
    </row>
    <row r="9" spans="2:14" x14ac:dyDescent="0.25">
      <c r="C9" t="s">
        <v>157</v>
      </c>
      <c r="I9" s="5"/>
      <c r="J9" s="5"/>
      <c r="K9" s="5"/>
      <c r="L9" s="5"/>
      <c r="M9" s="5"/>
    </row>
    <row r="10" spans="2:14" x14ac:dyDescent="0.25">
      <c r="D10" t="s">
        <v>64</v>
      </c>
      <c r="I10" s="6">
        <f>-'Income Statement'!I15</f>
        <v>106441.1888</v>
      </c>
      <c r="J10" s="6">
        <f>-'Income Statement'!J15</f>
        <v>169205.91077810567</v>
      </c>
      <c r="K10" s="6">
        <f>-'Income Statement'!K15</f>
        <v>252308.1242288434</v>
      </c>
      <c r="L10" s="6">
        <f>-'Income Statement'!L15</f>
        <v>332769.70202037127</v>
      </c>
      <c r="M10" s="6">
        <f>-'Income Statement'!M15</f>
        <v>435180.48523788672</v>
      </c>
    </row>
    <row r="11" spans="2:14" x14ac:dyDescent="0.25">
      <c r="D11" t="s">
        <v>152</v>
      </c>
      <c r="I11" s="5"/>
      <c r="J11" s="6">
        <f>Workings!J39</f>
        <v>824000</v>
      </c>
      <c r="K11" s="6">
        <f>Workings!K39</f>
        <v>824000</v>
      </c>
      <c r="L11" s="6">
        <f>Workings!L39</f>
        <v>824000</v>
      </c>
      <c r="M11" s="6">
        <f>Workings!M39</f>
        <v>824000</v>
      </c>
    </row>
    <row r="12" spans="2:14" x14ac:dyDescent="0.25">
      <c r="C12" t="s">
        <v>269</v>
      </c>
      <c r="I12" s="5"/>
      <c r="J12" s="6"/>
      <c r="K12" s="6"/>
      <c r="L12" s="6"/>
      <c r="M12" s="6"/>
    </row>
    <row r="13" spans="2:14" x14ac:dyDescent="0.25">
      <c r="D13" t="s">
        <v>268</v>
      </c>
      <c r="I13" s="5">
        <f>Workings!I116</f>
        <v>674008.74</v>
      </c>
      <c r="J13" s="5">
        <f>Workings!J116</f>
        <v>591882.97253688716</v>
      </c>
      <c r="K13" s="5">
        <f>Workings!K116</f>
        <v>489225.76320799615</v>
      </c>
      <c r="L13" s="5">
        <f>Workings!L116</f>
        <v>360904.25154688244</v>
      </c>
      <c r="M13" s="5">
        <f>Workings!M116</f>
        <v>200502.36197049034</v>
      </c>
    </row>
    <row r="14" spans="2:14" x14ac:dyDescent="0.25">
      <c r="C14" t="s">
        <v>158</v>
      </c>
      <c r="I14" s="5"/>
      <c r="J14" s="5"/>
      <c r="K14" s="5"/>
      <c r="L14" s="5"/>
      <c r="M14" s="5"/>
    </row>
    <row r="15" spans="2:14" x14ac:dyDescent="0.25">
      <c r="D15" t="s">
        <v>159</v>
      </c>
      <c r="I15" s="6">
        <f>'Cashflow Statement'!I21</f>
        <v>-5064500</v>
      </c>
      <c r="J15" s="6">
        <f>'Cashflow Statement'!J21</f>
        <v>-555106.19999999995</v>
      </c>
      <c r="K15" s="6">
        <f>'Cashflow Statement'!K21</f>
        <v>-640106.19999999995</v>
      </c>
      <c r="L15" s="6">
        <f>'Cashflow Statement'!L21</f>
        <v>-634106.19999999995</v>
      </c>
      <c r="M15" s="6">
        <f>'Cashflow Statement'!M21</f>
        <v>-727606.2</v>
      </c>
    </row>
    <row r="16" spans="2:14" ht="15.75" thickBot="1" x14ac:dyDescent="0.3">
      <c r="I16" s="61"/>
      <c r="J16" s="61"/>
      <c r="K16" s="61"/>
      <c r="L16" s="61"/>
      <c r="M16" s="61"/>
    </row>
    <row r="17" spans="2:13" x14ac:dyDescent="0.25">
      <c r="B17" s="2" t="s">
        <v>160</v>
      </c>
      <c r="I17" s="71">
        <f>SUM(I7:I16)</f>
        <v>-3099280.3547999999</v>
      </c>
      <c r="J17" s="71">
        <f t="shared" ref="J17:M17" si="0">SUM(J7:J16)</f>
        <v>2843378.4419619041</v>
      </c>
      <c r="K17" s="71">
        <f t="shared" si="0"/>
        <v>2812575.8283388102</v>
      </c>
      <c r="L17" s="71">
        <f t="shared" si="0"/>
        <v>2892031.5988544691</v>
      </c>
      <c r="M17" s="71">
        <f t="shared" si="0"/>
        <v>2850839.3125035698</v>
      </c>
    </row>
    <row r="18" spans="2:13" x14ac:dyDescent="0.25">
      <c r="B18" s="2" t="s">
        <v>161</v>
      </c>
      <c r="F18" s="7" t="s">
        <v>162</v>
      </c>
      <c r="I18" s="5"/>
      <c r="J18" s="5"/>
      <c r="K18" s="5"/>
      <c r="L18" s="5"/>
      <c r="M18" s="41">
        <f>(M17*(1+C57))/(C53-C57)</f>
        <v>24446689.485965893</v>
      </c>
    </row>
    <row r="19" spans="2:13" x14ac:dyDescent="0.25">
      <c r="F19" t="s">
        <v>163</v>
      </c>
      <c r="I19" s="5"/>
      <c r="J19" s="5"/>
      <c r="K19" s="5"/>
      <c r="L19" s="5"/>
      <c r="M19" s="5"/>
    </row>
    <row r="20" spans="2:13" ht="15.75" thickBot="1" x14ac:dyDescent="0.3">
      <c r="I20" s="61"/>
      <c r="J20" s="61"/>
      <c r="K20" s="61"/>
      <c r="L20" s="61"/>
      <c r="M20" s="61"/>
    </row>
    <row r="21" spans="2:13" x14ac:dyDescent="0.25">
      <c r="F21" t="s">
        <v>164</v>
      </c>
      <c r="I21" s="71">
        <f>SUM(I17:I18)</f>
        <v>-3099280.3547999999</v>
      </c>
      <c r="J21" s="71">
        <f t="shared" ref="J21:M21" si="1">SUM(J17:J18)</f>
        <v>2843378.4419619041</v>
      </c>
      <c r="K21" s="71">
        <f t="shared" si="1"/>
        <v>2812575.8283388102</v>
      </c>
      <c r="L21" s="71">
        <f t="shared" si="1"/>
        <v>2892031.5988544691</v>
      </c>
      <c r="M21" s="71">
        <f t="shared" si="1"/>
        <v>27297528.798469462</v>
      </c>
    </row>
    <row r="22" spans="2:13" x14ac:dyDescent="0.25">
      <c r="I22" s="5"/>
      <c r="J22" s="5"/>
      <c r="K22" s="5"/>
      <c r="L22" s="5"/>
      <c r="M22" s="5"/>
    </row>
    <row r="23" spans="2:13" x14ac:dyDescent="0.25">
      <c r="B23" s="2" t="s">
        <v>165</v>
      </c>
      <c r="F23" t="s">
        <v>166</v>
      </c>
      <c r="I23" s="72">
        <f>(1+Workings!$H$121)^-Valuation!I4</f>
        <v>0.86194821752328421</v>
      </c>
      <c r="J23" s="72">
        <f>(1+Workings!$H$121)^-Valuation!J4</f>
        <v>0.74295472969156684</v>
      </c>
      <c r="K23" s="72">
        <f>(1+Workings!$H$121)^-Valuation!K4</f>
        <v>0.64038850495813948</v>
      </c>
      <c r="L23" s="72">
        <f>(1+Workings!$H$121)^-Valuation!L4</f>
        <v>0.55198173037106923</v>
      </c>
      <c r="M23" s="72">
        <f>(1+Workings!$H$121)^-Valuation!M4</f>
        <v>0.47577966859876114</v>
      </c>
    </row>
    <row r="24" spans="2:13" ht="15.75" thickBot="1" x14ac:dyDescent="0.3">
      <c r="I24" s="61"/>
      <c r="J24" s="61"/>
      <c r="K24" s="61"/>
      <c r="L24" s="61"/>
      <c r="M24" s="61"/>
    </row>
    <row r="25" spans="2:13" ht="15.75" thickBot="1" x14ac:dyDescent="0.3">
      <c r="F25" t="s">
        <v>167</v>
      </c>
      <c r="I25" s="102">
        <f>I21*I23</f>
        <v>-2671419.1774247917</v>
      </c>
      <c r="J25" s="102">
        <f t="shared" ref="J25:M25" si="2">J21*J23</f>
        <v>2112501.461758635</v>
      </c>
      <c r="K25" s="102">
        <f t="shared" si="2"/>
        <v>1801141.2297912915</v>
      </c>
      <c r="L25" s="102">
        <f t="shared" si="2"/>
        <v>1596348.6062234999</v>
      </c>
      <c r="M25" s="102">
        <f t="shared" si="2"/>
        <v>12987609.205300938</v>
      </c>
    </row>
    <row r="26" spans="2:13" ht="16.5" thickTop="1" thickBot="1" x14ac:dyDescent="0.3"/>
    <row r="27" spans="2:13" ht="15.75" thickBot="1" x14ac:dyDescent="0.3">
      <c r="F27" t="s">
        <v>168</v>
      </c>
      <c r="I27" s="100">
        <f>SUM(I25:M25)</f>
        <v>15826181.325649573</v>
      </c>
    </row>
    <row r="28" spans="2:13" ht="15.75" thickTop="1" x14ac:dyDescent="0.25"/>
    <row r="30" spans="2:13" x14ac:dyDescent="0.25">
      <c r="B30" s="2" t="s">
        <v>188</v>
      </c>
    </row>
    <row r="31" spans="2:13" x14ac:dyDescent="0.25">
      <c r="B31" s="67" t="s">
        <v>187</v>
      </c>
    </row>
    <row r="32" spans="2:13" x14ac:dyDescent="0.25">
      <c r="C32" t="s">
        <v>156</v>
      </c>
      <c r="I32" s="6">
        <f>'Income Statement'!I21</f>
        <v>1184769.7164000003</v>
      </c>
      <c r="J32" s="6">
        <f>'Income Statement'!J21</f>
        <v>1813395.758646911</v>
      </c>
      <c r="K32" s="6">
        <f>'Income Statement'!K21</f>
        <v>1887148.1409019702</v>
      </c>
      <c r="L32" s="6">
        <f>'Income Statement'!L21</f>
        <v>2008463.8452872154</v>
      </c>
      <c r="M32" s="6">
        <f>'Income Statement'!M21</f>
        <v>2118762.6652951925</v>
      </c>
    </row>
    <row r="33" spans="2:13" x14ac:dyDescent="0.25">
      <c r="I33" s="5"/>
      <c r="J33" s="5"/>
      <c r="K33" s="5"/>
      <c r="L33" s="5"/>
      <c r="M33" s="5"/>
    </row>
    <row r="34" spans="2:13" x14ac:dyDescent="0.25">
      <c r="C34" t="s">
        <v>157</v>
      </c>
      <c r="I34" s="5"/>
      <c r="J34" s="5"/>
      <c r="K34" s="5"/>
      <c r="L34" s="5"/>
      <c r="M34" s="5"/>
    </row>
    <row r="35" spans="2:13" x14ac:dyDescent="0.25">
      <c r="D35" t="s">
        <v>64</v>
      </c>
      <c r="I35" s="6">
        <f>-'Income Statement'!I15</f>
        <v>106441.1888</v>
      </c>
      <c r="J35" s="6">
        <f>-'Income Statement'!J15</f>
        <v>169205.91077810567</v>
      </c>
      <c r="K35" s="6">
        <f>-'Income Statement'!K15</f>
        <v>252308.1242288434</v>
      </c>
      <c r="L35" s="6">
        <f>-'Income Statement'!L15</f>
        <v>332769.70202037127</v>
      </c>
      <c r="M35" s="6">
        <f>-'Income Statement'!M15</f>
        <v>435180.48523788672</v>
      </c>
    </row>
    <row r="36" spans="2:13" x14ac:dyDescent="0.25">
      <c r="D36" t="s">
        <v>152</v>
      </c>
      <c r="I36" s="5"/>
      <c r="J36" s="6">
        <f>Workings!J39</f>
        <v>824000</v>
      </c>
      <c r="K36" s="6">
        <f>Workings!K39</f>
        <v>824000</v>
      </c>
      <c r="L36" s="6">
        <f>Workings!L39</f>
        <v>824000</v>
      </c>
      <c r="M36" s="6">
        <f>Workings!M39</f>
        <v>824000</v>
      </c>
    </row>
    <row r="37" spans="2:13" x14ac:dyDescent="0.25">
      <c r="C37" t="s">
        <v>158</v>
      </c>
      <c r="I37" s="5"/>
      <c r="J37" s="5"/>
      <c r="K37" s="5"/>
      <c r="L37" s="5"/>
      <c r="M37" s="5"/>
    </row>
    <row r="38" spans="2:13" x14ac:dyDescent="0.25">
      <c r="D38" t="s">
        <v>159</v>
      </c>
      <c r="I38" s="6">
        <f>'Cashflow Statement'!I21</f>
        <v>-5064500</v>
      </c>
      <c r="J38" s="6">
        <f>'Cashflow Statement'!J21</f>
        <v>-555106.19999999995</v>
      </c>
      <c r="K38" s="6">
        <f>'Cashflow Statement'!K21</f>
        <v>-640106.19999999995</v>
      </c>
      <c r="L38" s="6">
        <f>'Cashflow Statement'!L21</f>
        <v>-634106.19999999995</v>
      </c>
      <c r="M38" s="6">
        <f>'Cashflow Statement'!M21</f>
        <v>-727606.2</v>
      </c>
    </row>
    <row r="39" spans="2:13" x14ac:dyDescent="0.25">
      <c r="I39" s="32"/>
      <c r="J39" s="32"/>
      <c r="K39" s="32"/>
      <c r="L39" s="32"/>
      <c r="M39" s="32"/>
    </row>
    <row r="40" spans="2:13" ht="15.75" thickBot="1" x14ac:dyDescent="0.3">
      <c r="D40" t="s">
        <v>172</v>
      </c>
      <c r="F40" t="s">
        <v>173</v>
      </c>
      <c r="I40" s="53">
        <f>'Balance Sheet'!I36-'Balance Sheet'!H36</f>
        <v>3156709.1868633982</v>
      </c>
      <c r="J40" s="53">
        <f>'Balance Sheet'!J36-'Balance Sheet'!I36</f>
        <v>-547505.1164207519</v>
      </c>
      <c r="K40" s="53">
        <f>'Balance Sheet'!K36-'Balance Sheet'!J36</f>
        <v>-684381.39552593976</v>
      </c>
      <c r="L40" s="53">
        <f>'Balance Sheet'!L36-'Balance Sheet'!K36</f>
        <v>-1924822.6749167065</v>
      </c>
      <c r="M40" s="53"/>
    </row>
    <row r="41" spans="2:13" x14ac:dyDescent="0.25">
      <c r="B41" s="2" t="s">
        <v>160</v>
      </c>
      <c r="I41" s="71">
        <f>SUM(I32:I40)</f>
        <v>-616579.90793660143</v>
      </c>
      <c r="J41" s="71">
        <f t="shared" ref="J41" si="3">SUM(J32:J40)</f>
        <v>1703990.3530042651</v>
      </c>
      <c r="K41" s="71">
        <f t="shared" ref="K41" si="4">SUM(K32:K40)</f>
        <v>1638968.6696048742</v>
      </c>
      <c r="L41" s="71">
        <f t="shared" ref="L41" si="5">SUM(L32:L40)</f>
        <v>606304.67239088053</v>
      </c>
      <c r="M41" s="71">
        <f t="shared" ref="M41" si="6">SUM(M32:M40)</f>
        <v>2650336.950533079</v>
      </c>
    </row>
    <row r="42" spans="2:13" x14ac:dyDescent="0.25">
      <c r="B42" s="2" t="s">
        <v>161</v>
      </c>
      <c r="F42" s="7" t="s">
        <v>162</v>
      </c>
      <c r="I42" s="5"/>
      <c r="J42" s="5"/>
      <c r="K42" s="5"/>
      <c r="L42" s="5"/>
      <c r="M42" s="41">
        <f>(M41*(1+C57))/(C55-C57)</f>
        <v>26751184.314212441</v>
      </c>
    </row>
    <row r="43" spans="2:13" x14ac:dyDescent="0.25">
      <c r="F43" t="s">
        <v>169</v>
      </c>
      <c r="I43" s="5"/>
      <c r="J43" s="5"/>
      <c r="K43" s="5"/>
      <c r="L43" s="5"/>
      <c r="M43" s="5"/>
    </row>
    <row r="44" spans="2:13" ht="15.75" thickBot="1" x14ac:dyDescent="0.3">
      <c r="I44" s="61"/>
      <c r="J44" s="61"/>
      <c r="K44" s="61"/>
      <c r="L44" s="61"/>
      <c r="M44" s="61"/>
    </row>
    <row r="45" spans="2:13" x14ac:dyDescent="0.25">
      <c r="F45" t="s">
        <v>170</v>
      </c>
      <c r="I45" s="71">
        <f>SUM(I41:I42)</f>
        <v>-616579.90793660143</v>
      </c>
      <c r="J45" s="71">
        <f t="shared" ref="J45:M45" si="7">SUM(J41:J42)</f>
        <v>1703990.3530042651</v>
      </c>
      <c r="K45" s="71">
        <f t="shared" si="7"/>
        <v>1638968.6696048742</v>
      </c>
      <c r="L45" s="71">
        <f t="shared" si="7"/>
        <v>606304.67239088053</v>
      </c>
      <c r="M45" s="71">
        <f t="shared" si="7"/>
        <v>29401521.264745519</v>
      </c>
    </row>
    <row r="46" spans="2:13" x14ac:dyDescent="0.25">
      <c r="I46" s="5"/>
      <c r="J46" s="5"/>
      <c r="K46" s="5"/>
      <c r="L46" s="5"/>
      <c r="M46" s="5"/>
    </row>
    <row r="47" spans="2:13" x14ac:dyDescent="0.25">
      <c r="B47" s="2" t="s">
        <v>165</v>
      </c>
      <c r="F47" t="s">
        <v>171</v>
      </c>
      <c r="I47" s="72">
        <f>(1+Workings!$H$126)^-Valuation!I4</f>
        <v>0.8</v>
      </c>
      <c r="J47" s="72">
        <f>(1+Workings!$H$126)^-Valuation!J4</f>
        <v>0.64</v>
      </c>
      <c r="K47" s="72">
        <f>(1+Workings!$H$126)^-Valuation!K4</f>
        <v>0.51200000000000001</v>
      </c>
      <c r="L47" s="72">
        <f>(1+Workings!$H$126)^-Valuation!L4</f>
        <v>0.40960000000000002</v>
      </c>
      <c r="M47" s="72">
        <f>(1+Workings!$H$126)^-Valuation!M4</f>
        <v>0.32768000000000003</v>
      </c>
    </row>
    <row r="48" spans="2:13" ht="15.75" thickBot="1" x14ac:dyDescent="0.3">
      <c r="I48" s="61"/>
      <c r="J48" s="61"/>
      <c r="K48" s="61"/>
      <c r="L48" s="61"/>
      <c r="M48" s="61"/>
    </row>
    <row r="49" spans="2:13" ht="15.75" thickBot="1" x14ac:dyDescent="0.3">
      <c r="F49" t="s">
        <v>167</v>
      </c>
      <c r="I49" s="102">
        <f>I45*I47</f>
        <v>-493263.92634928116</v>
      </c>
      <c r="J49" s="102">
        <f t="shared" ref="J49:M49" si="8">J45*J47</f>
        <v>1090553.8259227297</v>
      </c>
      <c r="K49" s="102">
        <f t="shared" si="8"/>
        <v>839151.95883769565</v>
      </c>
      <c r="L49" s="102">
        <f t="shared" si="8"/>
        <v>248342.39381130468</v>
      </c>
      <c r="M49" s="102">
        <f t="shared" si="8"/>
        <v>9634290.488031812</v>
      </c>
    </row>
    <row r="50" spans="2:13" ht="16.5" thickTop="1" thickBot="1" x14ac:dyDescent="0.3"/>
    <row r="51" spans="2:13" ht="15.75" thickBot="1" x14ac:dyDescent="0.3">
      <c r="F51" t="s">
        <v>168</v>
      </c>
      <c r="I51" s="100">
        <f>SUM(I49:M49)</f>
        <v>11319074.740254261</v>
      </c>
    </row>
    <row r="52" spans="2:13" ht="15.75" thickTop="1" x14ac:dyDescent="0.25"/>
    <row r="53" spans="2:13" x14ac:dyDescent="0.25">
      <c r="B53" s="2" t="s">
        <v>174</v>
      </c>
      <c r="C53" s="70">
        <f>Workings!H121</f>
        <v>0.16016250126184228</v>
      </c>
    </row>
    <row r="54" spans="2:13" x14ac:dyDescent="0.25">
      <c r="B54" s="2"/>
      <c r="C54" s="5"/>
    </row>
    <row r="55" spans="2:13" x14ac:dyDescent="0.25">
      <c r="B55" s="2" t="s">
        <v>50</v>
      </c>
      <c r="C55" s="70">
        <f>Workings!H123</f>
        <v>0.14193750210307046</v>
      </c>
    </row>
    <row r="56" spans="2:13" x14ac:dyDescent="0.25">
      <c r="B56" s="2"/>
      <c r="C56" s="5"/>
    </row>
    <row r="57" spans="2:13" x14ac:dyDescent="0.25">
      <c r="B57" s="2" t="s">
        <v>175</v>
      </c>
      <c r="C57" s="29">
        <f>Assumptions!E100</f>
        <v>3.9E-2</v>
      </c>
    </row>
  </sheetData>
  <hyperlinks>
    <hyperlink ref="N1" location="'Table of Content'!A1" display="Back" xr:uid="{1F139BED-2A68-41A8-B4B6-D904AF46626B}"/>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1" r:id="rId3" name="Drop Down 1">
              <controlPr defaultSize="0" autoLine="0" autoPict="0">
                <anchor moveWithCells="1">
                  <from>
                    <xdr:col>1</xdr:col>
                    <xdr:colOff>609600</xdr:colOff>
                    <xdr:row>0</xdr:row>
                    <xdr:rowOff>0</xdr:rowOff>
                  </from>
                  <to>
                    <xdr:col>2</xdr:col>
                    <xdr:colOff>561975</xdr:colOff>
                    <xdr:row>1</xdr:row>
                    <xdr:rowOff>66675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AAD20-C743-47AB-9BB2-15F1D1083AA7}">
  <sheetPr>
    <tabColor theme="2" tint="-0.499984740745262"/>
  </sheetPr>
  <dimension ref="B1:K30"/>
  <sheetViews>
    <sheetView showGridLines="0" zoomScale="110" zoomScaleNormal="110" workbookViewId="0">
      <selection activeCell="K16" sqref="K16"/>
    </sheetView>
  </sheetViews>
  <sheetFormatPr defaultColWidth="8.85546875" defaultRowHeight="15" x14ac:dyDescent="0.25"/>
  <cols>
    <col min="2" max="2" width="4.140625" customWidth="1"/>
    <col min="4" max="4" width="11.42578125" customWidth="1"/>
    <col min="6" max="9" width="13.28515625" bestFit="1" customWidth="1"/>
    <col min="10" max="10" width="14.28515625" bestFit="1" customWidth="1"/>
  </cols>
  <sheetData>
    <row r="1" spans="2:11" x14ac:dyDescent="0.25">
      <c r="B1" s="3" t="s">
        <v>274</v>
      </c>
      <c r="I1" t="s">
        <v>278</v>
      </c>
      <c r="J1" s="106">
        <f ca="1">TODAY()</f>
        <v>45934</v>
      </c>
      <c r="K1" s="104" t="s">
        <v>275</v>
      </c>
    </row>
    <row r="3" spans="2:11" ht="18.75" x14ac:dyDescent="0.3">
      <c r="B3" s="94" t="s">
        <v>189</v>
      </c>
      <c r="C3" s="95"/>
      <c r="D3" s="95"/>
      <c r="E3" s="95"/>
      <c r="F3" s="95"/>
      <c r="G3" s="95"/>
      <c r="H3" s="95"/>
      <c r="I3" s="95"/>
      <c r="J3" s="95"/>
    </row>
    <row r="4" spans="2:11" x14ac:dyDescent="0.25">
      <c r="E4" s="8">
        <v>0</v>
      </c>
      <c r="F4" s="9">
        <v>1</v>
      </c>
      <c r="G4" s="10">
        <v>2</v>
      </c>
      <c r="H4" s="11">
        <v>3</v>
      </c>
      <c r="I4" s="12">
        <v>4</v>
      </c>
      <c r="J4" s="13">
        <v>5</v>
      </c>
    </row>
    <row r="6" spans="2:11" x14ac:dyDescent="0.25">
      <c r="B6" s="2" t="s">
        <v>190</v>
      </c>
      <c r="F6" s="14"/>
      <c r="G6" s="14"/>
      <c r="H6" s="14"/>
      <c r="I6" s="14"/>
      <c r="J6" s="14"/>
    </row>
    <row r="7" spans="2:11" x14ac:dyDescent="0.25">
      <c r="C7" t="s">
        <v>191</v>
      </c>
      <c r="F7" s="14">
        <f>'Income Statement'!I9/'Income Statement'!I6</f>
        <v>0.5105474232539321</v>
      </c>
      <c r="G7" s="14">
        <f>'Income Statement'!J9/'Income Statement'!J6</f>
        <v>0.53395760023254346</v>
      </c>
      <c r="H7" s="14">
        <f>'Income Statement'!K9/'Income Statement'!K6</f>
        <v>0.55683088735329156</v>
      </c>
      <c r="I7" s="14">
        <f>'Income Statement'!L9/'Income Statement'!L6</f>
        <v>0.58319554839107357</v>
      </c>
      <c r="J7" s="14">
        <f>'Income Statement'!M9/'Income Statement'!M6</f>
        <v>0.61392560018647524</v>
      </c>
    </row>
    <row r="8" spans="2:11" x14ac:dyDescent="0.25">
      <c r="C8" t="s">
        <v>192</v>
      </c>
      <c r="F8" s="14">
        <f>'Income Statement'!I13/'Income Statement'!I6</f>
        <v>0.26648304253274668</v>
      </c>
      <c r="G8" s="14">
        <f>'Income Statement'!J13/'Income Statement'!J6</f>
        <v>0.39781180992389709</v>
      </c>
      <c r="H8" s="14">
        <f>'Income Statement'!K13/'Income Statement'!K6</f>
        <v>0.41999180645996348</v>
      </c>
      <c r="I8" s="14">
        <f>'Income Statement'!L13/'Income Statement'!L6</f>
        <v>0.45068155961796069</v>
      </c>
      <c r="J8" s="14">
        <f>'Income Statement'!M13/'Income Statement'!M6</f>
        <v>0.48164076640665543</v>
      </c>
    </row>
    <row r="9" spans="2:11" x14ac:dyDescent="0.25">
      <c r="C9" t="s">
        <v>193</v>
      </c>
      <c r="F9" s="14">
        <f>'Income Statement'!I21/'Income Statement'!I6</f>
        <v>0.18724550466545292</v>
      </c>
      <c r="G9" s="14">
        <f>'Income Statement'!J21/'Income Statement'!J6</f>
        <v>0.27884483491144546</v>
      </c>
      <c r="H9" s="14">
        <f>'Income Statement'!K21/'Income Statement'!K6</f>
        <v>0.28628684866974718</v>
      </c>
      <c r="I9" s="14">
        <f>'Income Statement'!L21/'Income Statement'!L6</f>
        <v>0.30065139519284939</v>
      </c>
      <c r="J9" s="14">
        <f>'Income Statement'!M21/'Income Statement'!M6</f>
        <v>0.31301248280782362</v>
      </c>
    </row>
    <row r="10" spans="2:11" x14ac:dyDescent="0.25">
      <c r="F10" s="5"/>
      <c r="G10" s="5"/>
      <c r="H10" s="5"/>
      <c r="I10" s="5"/>
      <c r="J10" s="5"/>
    </row>
    <row r="11" spans="2:11" x14ac:dyDescent="0.25">
      <c r="C11" t="s">
        <v>194</v>
      </c>
      <c r="F11" s="14">
        <f>'Income Statement'!I13/('Balance Sheet'!I28)</f>
        <v>0.17755144505047557</v>
      </c>
      <c r="G11" s="14">
        <f>'Income Statement'!J13/('Balance Sheet'!J28)</f>
        <v>0.24876106632626385</v>
      </c>
      <c r="H11" s="14">
        <f>'Income Statement'!K13/('Balance Sheet'!K28)</f>
        <v>0.24663432128694288</v>
      </c>
      <c r="I11" s="14">
        <f>'Income Statement'!L13/('Balance Sheet'!L28)</f>
        <v>0.27603338510204506</v>
      </c>
      <c r="J11" s="14">
        <f>'Income Statement'!M13/('Balance Sheet'!M28)</f>
        <v>0.25870266458779423</v>
      </c>
    </row>
    <row r="12" spans="2:11" x14ac:dyDescent="0.25">
      <c r="C12" t="s">
        <v>195</v>
      </c>
      <c r="F12" s="14">
        <f>'Income Statement'!I21/('Balance Sheet'!I13+'Balance Sheet'!I17)</f>
        <v>0.11477299391350441</v>
      </c>
      <c r="G12" s="14">
        <f>'Income Statement'!J21/('Balance Sheet'!J13+'Balance Sheet'!J17)</f>
        <v>0.15684092984936893</v>
      </c>
      <c r="H12" s="14">
        <f>'Income Statement'!K21/('Balance Sheet'!K13+'Balance Sheet'!K17)</f>
        <v>0.15186264552410159</v>
      </c>
      <c r="I12" s="14">
        <f>'Income Statement'!L21/('Balance Sheet'!L13+'Balance Sheet'!L17)</f>
        <v>0.15166603771093889</v>
      </c>
      <c r="J12" s="14">
        <f>'Income Statement'!M21/('Balance Sheet'!M13+'Balance Sheet'!M17)</f>
        <v>0.1521316671554078</v>
      </c>
    </row>
    <row r="13" spans="2:11" x14ac:dyDescent="0.25">
      <c r="F13" s="5"/>
      <c r="G13" s="5"/>
      <c r="H13" s="5"/>
      <c r="I13" s="5"/>
      <c r="J13" s="5"/>
    </row>
    <row r="14" spans="2:11" x14ac:dyDescent="0.25">
      <c r="F14" s="5"/>
      <c r="G14" s="5"/>
      <c r="H14" s="5"/>
      <c r="I14" s="5"/>
      <c r="J14" s="5"/>
    </row>
    <row r="15" spans="2:11" x14ac:dyDescent="0.25">
      <c r="B15" s="2" t="s">
        <v>196</v>
      </c>
      <c r="F15" s="5"/>
      <c r="G15" s="5"/>
      <c r="H15" s="5"/>
      <c r="I15" s="5"/>
      <c r="J15" s="5"/>
    </row>
    <row r="16" spans="2:11" x14ac:dyDescent="0.25">
      <c r="C16" t="s">
        <v>197</v>
      </c>
      <c r="F16" s="74">
        <f>'Balance Sheet'!I17/'Balance Sheet'!I24</f>
        <v>6.2761856761678407</v>
      </c>
      <c r="G16" s="74">
        <f>'Balance Sheet'!J17/'Balance Sheet'!J24</f>
        <v>5.768781894994544</v>
      </c>
      <c r="H16" s="74">
        <f>'Balance Sheet'!K17/'Balance Sheet'!K24</f>
        <v>6.5540285667733578</v>
      </c>
      <c r="I16" s="74">
        <f>'Balance Sheet'!L17/'Balance Sheet'!L24</f>
        <v>3.9036558638456316</v>
      </c>
      <c r="J16" s="74">
        <f>'Balance Sheet'!M17/'Balance Sheet'!M24</f>
        <v>7.7580562916590097</v>
      </c>
    </row>
    <row r="17" spans="2:10" x14ac:dyDescent="0.25">
      <c r="C17" t="s">
        <v>198</v>
      </c>
      <c r="F17" s="74">
        <f>'Balance Sheet'!I17/'Balance Sheet'!I24</f>
        <v>6.2761856761678407</v>
      </c>
      <c r="G17" s="74">
        <f>'Balance Sheet'!J17/'Balance Sheet'!J24</f>
        <v>5.768781894994544</v>
      </c>
      <c r="H17" s="74">
        <f>'Balance Sheet'!K17/'Balance Sheet'!K24</f>
        <v>6.5540285667733578</v>
      </c>
      <c r="I17" s="74">
        <f>'Balance Sheet'!L17/'Balance Sheet'!L24</f>
        <v>3.9036558638456316</v>
      </c>
      <c r="J17" s="74">
        <f>'Balance Sheet'!M17/'Balance Sheet'!M24</f>
        <v>7.7580562916590097</v>
      </c>
    </row>
    <row r="18" spans="2:10" x14ac:dyDescent="0.25">
      <c r="C18" t="s">
        <v>199</v>
      </c>
      <c r="F18" s="74">
        <f>'Balance Sheet'!I16/'Balance Sheet'!I24</f>
        <v>6.2761856761678407</v>
      </c>
      <c r="G18" s="74">
        <f>'Balance Sheet'!J16/'Balance Sheet'!J24</f>
        <v>5.768781894994544</v>
      </c>
      <c r="H18" s="74">
        <f>'Balance Sheet'!K16/'Balance Sheet'!K24</f>
        <v>6.5540285667733578</v>
      </c>
      <c r="I18" s="74">
        <f>'Balance Sheet'!L16/'Balance Sheet'!L24</f>
        <v>3.9036558638456316</v>
      </c>
      <c r="J18" s="74">
        <f>'Balance Sheet'!M16/'Balance Sheet'!M24</f>
        <v>7.7580562916590097</v>
      </c>
    </row>
    <row r="19" spans="2:10" x14ac:dyDescent="0.25">
      <c r="F19" s="5"/>
      <c r="G19" s="5"/>
      <c r="H19" s="5"/>
      <c r="I19" s="5"/>
      <c r="J19" s="5"/>
    </row>
    <row r="20" spans="2:10" x14ac:dyDescent="0.25">
      <c r="F20" s="5"/>
      <c r="G20" s="5"/>
      <c r="H20" s="5"/>
      <c r="I20" s="5"/>
      <c r="J20" s="5"/>
    </row>
    <row r="21" spans="2:10" x14ac:dyDescent="0.25">
      <c r="B21" s="2" t="s">
        <v>200</v>
      </c>
      <c r="F21" s="5"/>
      <c r="G21" s="5"/>
      <c r="H21" s="5"/>
      <c r="I21" s="5"/>
      <c r="J21" s="5"/>
    </row>
    <row r="22" spans="2:10" x14ac:dyDescent="0.25">
      <c r="C22" t="s">
        <v>201</v>
      </c>
      <c r="F22" s="14">
        <f>('Balance Sheet'!I36+'Balance Sheet'!I23)/'Balance Sheet'!I33</f>
        <v>0.49791263433803506</v>
      </c>
      <c r="G22" s="14">
        <f>('Balance Sheet'!J36+'Balance Sheet'!J23)/'Balance Sheet'!J33</f>
        <v>0.33491686136129389</v>
      </c>
      <c r="H22" s="14">
        <f>('Balance Sheet'!K36+'Balance Sheet'!K23)/'Balance Sheet'!K33</f>
        <v>0.2069630407024286</v>
      </c>
      <c r="I22" s="14">
        <f>('Balance Sheet'!L36+'Balance Sheet'!L23)/'Balance Sheet'!L33</f>
        <v>9.8041342402994433E-2</v>
      </c>
      <c r="J22" s="14">
        <f>('Balance Sheet'!M36+'Balance Sheet'!M23)/'Balance Sheet'!M33</f>
        <v>0</v>
      </c>
    </row>
    <row r="23" spans="2:10" x14ac:dyDescent="0.25">
      <c r="C23" t="s">
        <v>202</v>
      </c>
      <c r="F23" s="14">
        <f>'Balance Sheet'!I33/('Balance Sheet'!I13+'Balance Sheet'!I17)</f>
        <v>0.61416801256515907</v>
      </c>
      <c r="G23" s="14">
        <f>'Balance Sheet'!J33/('Balance Sheet'!J13+'Balance Sheet'!J17)</f>
        <v>0.67381061359503991</v>
      </c>
      <c r="H23" s="14">
        <f>'Balance Sheet'!K33/('Balance Sheet'!K13+'Balance Sheet'!K17)</f>
        <v>0.74841571376236082</v>
      </c>
      <c r="I23" s="14">
        <f>'Balance Sheet'!L33/('Balance Sheet'!L13+'Balance Sheet'!L17)</f>
        <v>0.82363215729955197</v>
      </c>
      <c r="J23" s="14">
        <f>'Balance Sheet'!M33/('Balance Sheet'!M13+'Balance Sheet'!M17)</f>
        <v>0.90485773680762449</v>
      </c>
    </row>
    <row r="24" spans="2:10" x14ac:dyDescent="0.25">
      <c r="C24" t="s">
        <v>203</v>
      </c>
      <c r="F24" s="14">
        <f>('Balance Sheet'!I36+'Balance Sheet'!I23)/('Balance Sheet'!I13+'Balance Sheet'!I17)</f>
        <v>0.30580201306247379</v>
      </c>
      <c r="G24" s="14">
        <f>('Balance Sheet'!J36+'Balance Sheet'!J23)/('Balance Sheet'!J13+'Balance Sheet'!J17)</f>
        <v>0.22567053585717836</v>
      </c>
      <c r="H24" s="14">
        <f>('Balance Sheet'!K36+'Balance Sheet'!K23)/('Balance Sheet'!K13+'Balance Sheet'!K17)</f>
        <v>0.15489439182973663</v>
      </c>
      <c r="I24" s="14">
        <f>('Balance Sheet'!L36+'Balance Sheet'!L23)/('Balance Sheet'!L13+'Balance Sheet'!L17)</f>
        <v>8.0750002347922345E-2</v>
      </c>
      <c r="J24" s="14">
        <f>('Balance Sheet'!M36+'Balance Sheet'!M23)/('Balance Sheet'!M13+'Balance Sheet'!M17)</f>
        <v>0</v>
      </c>
    </row>
    <row r="25" spans="2:10" x14ac:dyDescent="0.25">
      <c r="C25" t="s">
        <v>204</v>
      </c>
      <c r="F25" s="23">
        <f>'Income Statement'!I13/Workings!$F101</f>
        <v>1.8762376998256731</v>
      </c>
      <c r="G25" s="23">
        <f>'Income Statement'!J13/Workings!$F102</f>
        <v>3.2781821436999818</v>
      </c>
      <c r="H25" s="23">
        <f>'Income Statement'!K13/Workings!$F103</f>
        <v>4.2442148190605868</v>
      </c>
      <c r="I25" s="23">
        <f>'Income Statement'!L13/Workings!$F104</f>
        <v>6.2566210071625274</v>
      </c>
      <c r="J25" s="23">
        <f>'Income Statement'!M13/Workings!$F105</f>
        <v>12.195108352805745</v>
      </c>
    </row>
    <row r="26" spans="2:10" x14ac:dyDescent="0.25">
      <c r="F26" s="5"/>
      <c r="G26" s="5"/>
      <c r="H26" s="5"/>
      <c r="I26" s="5"/>
      <c r="J26" s="5"/>
    </row>
    <row r="27" spans="2:10" x14ac:dyDescent="0.25">
      <c r="F27" s="5"/>
      <c r="G27" s="5"/>
      <c r="H27" s="5"/>
      <c r="I27" s="5"/>
      <c r="J27" s="5"/>
    </row>
    <row r="28" spans="2:10" x14ac:dyDescent="0.25">
      <c r="B28" s="2" t="s">
        <v>205</v>
      </c>
      <c r="F28" s="5"/>
      <c r="G28" s="5"/>
      <c r="H28" s="5"/>
      <c r="I28" s="5"/>
      <c r="J28" s="5"/>
    </row>
    <row r="29" spans="2:10" x14ac:dyDescent="0.25">
      <c r="F29" s="5"/>
      <c r="G29" s="5"/>
      <c r="H29" s="5"/>
      <c r="I29" s="5"/>
      <c r="J29" s="5"/>
    </row>
    <row r="30" spans="2:10" x14ac:dyDescent="0.25">
      <c r="C30" t="s">
        <v>206</v>
      </c>
      <c r="F30" s="6">
        <f>'Balance Sheet'!I17-'Balance Sheet'!I24</f>
        <v>4358800.4047833979</v>
      </c>
      <c r="G30" s="6">
        <f>'Balance Sheet'!J17-'Balance Sheet'!J24</f>
        <v>5542276.1467151111</v>
      </c>
      <c r="H30" s="6">
        <f>'Balance Sheet'!K17-'Balance Sheet'!K24</f>
        <v>6673354.9846174587</v>
      </c>
      <c r="I30" s="6">
        <f>'Balance Sheet'!L17-'Balance Sheet'!L24</f>
        <v>6781725.7542050593</v>
      </c>
      <c r="J30" s="6">
        <f>'Balance Sheet'!M17-'Balance Sheet'!M24</f>
        <v>8954842.8751536366</v>
      </c>
    </row>
  </sheetData>
  <hyperlinks>
    <hyperlink ref="K1" location="'Table of Content'!A1" display="Back" xr:uid="{0FC3FCFF-614E-4DBD-8D4B-6DE8E8BE3CFF}"/>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65" r:id="rId3" name="Drop Down 1">
              <controlPr defaultSize="0" autoLine="0" autoPict="0">
                <anchor moveWithCells="1">
                  <from>
                    <xdr:col>2</xdr:col>
                    <xdr:colOff>333375</xdr:colOff>
                    <xdr:row>0</xdr:row>
                    <xdr:rowOff>0</xdr:rowOff>
                  </from>
                  <to>
                    <xdr:col>3</xdr:col>
                    <xdr:colOff>523875</xdr:colOff>
                    <xdr:row>1</xdr:row>
                    <xdr:rowOff>38100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03ADE-DFDD-4009-A52B-12E2434C7B1A}">
  <sheetPr>
    <tabColor theme="2" tint="-0.499984740745262"/>
  </sheetPr>
  <dimension ref="B1:M20"/>
  <sheetViews>
    <sheetView showGridLines="0" workbookViewId="0">
      <selection activeCell="O18" sqref="O18"/>
    </sheetView>
  </sheetViews>
  <sheetFormatPr defaultColWidth="8.85546875" defaultRowHeight="15" x14ac:dyDescent="0.25"/>
  <cols>
    <col min="2" max="2" width="11.28515625" bestFit="1" customWidth="1"/>
    <col min="3" max="4" width="13.28515625" bestFit="1" customWidth="1"/>
    <col min="5" max="5" width="13.85546875" customWidth="1"/>
    <col min="6" max="6" width="14.42578125" bestFit="1" customWidth="1"/>
    <col min="7" max="7" width="13.28515625" bestFit="1" customWidth="1"/>
    <col min="8" max="8" width="17.42578125" customWidth="1"/>
    <col min="9" max="9" width="11.85546875" customWidth="1"/>
    <col min="10" max="11" width="12.140625" customWidth="1"/>
    <col min="12" max="12" width="10.140625" bestFit="1" customWidth="1"/>
  </cols>
  <sheetData>
    <row r="1" spans="2:13" x14ac:dyDescent="0.25">
      <c r="K1" t="s">
        <v>278</v>
      </c>
      <c r="L1" s="106">
        <f ca="1">TODAY()</f>
        <v>45934</v>
      </c>
      <c r="M1" s="81" t="s">
        <v>275</v>
      </c>
    </row>
    <row r="3" spans="2:13" ht="18.75" x14ac:dyDescent="0.3">
      <c r="B3" s="94" t="s">
        <v>207</v>
      </c>
      <c r="C3" s="94"/>
      <c r="D3" s="94"/>
      <c r="E3" s="94"/>
      <c r="F3" s="95"/>
      <c r="G3" s="95"/>
      <c r="H3" s="95"/>
      <c r="I3" s="95"/>
      <c r="J3" s="95"/>
      <c r="K3" s="95"/>
      <c r="L3" s="95"/>
    </row>
    <row r="5" spans="2:13" x14ac:dyDescent="0.25">
      <c r="B5" t="s">
        <v>80</v>
      </c>
      <c r="C5" t="s">
        <v>57</v>
      </c>
      <c r="D5" t="s">
        <v>208</v>
      </c>
      <c r="E5" t="s">
        <v>209</v>
      </c>
      <c r="F5" t="s">
        <v>210</v>
      </c>
      <c r="G5" t="s">
        <v>69</v>
      </c>
      <c r="H5" t="s">
        <v>211</v>
      </c>
      <c r="I5" t="s">
        <v>212</v>
      </c>
      <c r="J5" t="s">
        <v>191</v>
      </c>
      <c r="K5" t="s">
        <v>193</v>
      </c>
      <c r="L5" t="s">
        <v>194</v>
      </c>
    </row>
    <row r="6" spans="2:13" x14ac:dyDescent="0.25">
      <c r="B6">
        <v>2026</v>
      </c>
      <c r="C6" s="4">
        <f>'Income Statement'!I6</f>
        <v>6327360</v>
      </c>
      <c r="D6" s="4">
        <f>-'Income Statement'!I7</f>
        <v>3096942.656</v>
      </c>
      <c r="E6" s="4">
        <f>'Income Statement'!I9</f>
        <v>3230417.344</v>
      </c>
      <c r="H6" s="4">
        <f>'Income Statement'!I13</f>
        <v>1686134.1440000001</v>
      </c>
      <c r="I6" s="4">
        <f>'Income Statement'!I21</f>
        <v>1184769.7164000003</v>
      </c>
      <c r="J6" s="44">
        <f>'Financial Ratios'!F7</f>
        <v>0.5105474232539321</v>
      </c>
      <c r="K6" s="44">
        <f>'Financial Ratios'!F9</f>
        <v>0.18724550466545292</v>
      </c>
      <c r="L6" s="44">
        <f>'Financial Ratios'!F11</f>
        <v>0.17755144505047557</v>
      </c>
    </row>
    <row r="7" spans="2:13" x14ac:dyDescent="0.25">
      <c r="B7">
        <v>2027</v>
      </c>
      <c r="C7" s="4">
        <f>'Income Statement'!J6</f>
        <v>6503243.1359999999</v>
      </c>
      <c r="D7" s="4">
        <f>-'Income Statement'!J7</f>
        <v>3030787.0373726794</v>
      </c>
      <c r="E7" s="4">
        <f>'Income Statement'!J9</f>
        <v>3472456.0986273205</v>
      </c>
      <c r="H7" s="4">
        <f>'Income Statement'!J13</f>
        <v>2587066.9223073204</v>
      </c>
      <c r="I7" s="4">
        <f>'Income Statement'!J21</f>
        <v>1813395.758646911</v>
      </c>
      <c r="J7" s="44">
        <f>'Financial Ratios'!G7</f>
        <v>0.53395760023254346</v>
      </c>
      <c r="K7" s="44">
        <f>'Financial Ratios'!G9</f>
        <v>0.27884483491144546</v>
      </c>
      <c r="L7" s="44">
        <f>'Financial Ratios'!G11</f>
        <v>0.24876106632626385</v>
      </c>
    </row>
    <row r="8" spans="2:13" x14ac:dyDescent="0.25">
      <c r="B8">
        <v>2028</v>
      </c>
      <c r="C8" s="4">
        <f>'Income Statement'!K6</f>
        <v>6591808.7039999999</v>
      </c>
      <c r="D8" s="4">
        <f>-'Income Statement'!K7</f>
        <v>2921286.0140885292</v>
      </c>
      <c r="E8" s="4">
        <f>'Income Statement'!K9</f>
        <v>3670522.6899114707</v>
      </c>
      <c r="H8" s="4">
        <f>'Income Statement'!K13</f>
        <v>2768505.6454314706</v>
      </c>
      <c r="I8" s="4">
        <f>'Income Statement'!K21</f>
        <v>1887148.1409019702</v>
      </c>
      <c r="J8" s="44">
        <f>'Financial Ratios'!H7</f>
        <v>0.55683088735329156</v>
      </c>
      <c r="K8" s="44">
        <f>'Financial Ratios'!H9</f>
        <v>0.28628684866974718</v>
      </c>
      <c r="L8" s="44">
        <f>'Financial Ratios'!H11</f>
        <v>0.24663432128694288</v>
      </c>
    </row>
    <row r="9" spans="2:13" x14ac:dyDescent="0.25">
      <c r="B9">
        <v>2029</v>
      </c>
      <c r="C9" s="4">
        <f>'Income Statement'!L6</f>
        <v>6680374.2719999999</v>
      </c>
      <c r="D9" s="4">
        <f>-'Income Statement'!L7</f>
        <v>2784409.7349833413</v>
      </c>
      <c r="E9" s="4">
        <f>'Income Statement'!L9</f>
        <v>3895964.5370166586</v>
      </c>
      <c r="H9" s="4">
        <f>'Income Statement'!L13</f>
        <v>3010721.4957366586</v>
      </c>
      <c r="I9" s="4">
        <f>'Income Statement'!L21</f>
        <v>2008463.8452872154</v>
      </c>
      <c r="J9" s="44">
        <f>'Financial Ratios'!I7</f>
        <v>0.58319554839107357</v>
      </c>
      <c r="K9" s="44">
        <f>'Financial Ratios'!I9</f>
        <v>0.30065139519284939</v>
      </c>
      <c r="L9" s="44">
        <f>'Financial Ratios'!I11</f>
        <v>0.27603338510204506</v>
      </c>
    </row>
    <row r="10" spans="2:13" x14ac:dyDescent="0.25">
      <c r="B10">
        <v>2030</v>
      </c>
      <c r="C10" s="4">
        <f>'Income Statement'!M6</f>
        <v>6768939.8399999999</v>
      </c>
      <c r="D10" s="4">
        <f>-'Income Statement'!M7</f>
        <v>2613314.3861018564</v>
      </c>
      <c r="E10" s="4">
        <f>'Income Statement'!M9</f>
        <v>4155625.4538981435</v>
      </c>
      <c r="H10" s="4">
        <f>'Income Statement'!M13</f>
        <v>3260197.3722981433</v>
      </c>
      <c r="I10" s="4">
        <f>'Income Statement'!M21</f>
        <v>2118762.6652951925</v>
      </c>
      <c r="J10" s="44">
        <f>'Financial Ratios'!J7</f>
        <v>0.61392560018647524</v>
      </c>
      <c r="K10" s="44">
        <f>'Financial Ratios'!J9</f>
        <v>0.31301248280782362</v>
      </c>
      <c r="L10" s="44">
        <f>'Financial Ratios'!J11</f>
        <v>0.25870266458779423</v>
      </c>
    </row>
    <row r="11" spans="2:13" x14ac:dyDescent="0.25">
      <c r="B11">
        <v>2026</v>
      </c>
      <c r="F11" t="s">
        <v>213</v>
      </c>
      <c r="G11" s="4">
        <f>-'Income Statement'!I11</f>
        <v>1544283.2</v>
      </c>
    </row>
    <row r="12" spans="2:13" x14ac:dyDescent="0.25">
      <c r="B12">
        <v>2026</v>
      </c>
      <c r="F12" t="s">
        <v>64</v>
      </c>
      <c r="G12" s="4">
        <f>-'Income Statement'!I15</f>
        <v>106441.1888</v>
      </c>
    </row>
    <row r="13" spans="2:13" x14ac:dyDescent="0.25">
      <c r="B13">
        <v>2027</v>
      </c>
      <c r="F13" t="s">
        <v>213</v>
      </c>
      <c r="G13" s="4">
        <f>-'Income Statement'!J11</f>
        <v>885389.17631999997</v>
      </c>
    </row>
    <row r="14" spans="2:13" x14ac:dyDescent="0.25">
      <c r="B14">
        <v>2027</v>
      </c>
      <c r="F14" t="s">
        <v>64</v>
      </c>
      <c r="G14" s="4">
        <f>-'Income Statement'!J15</f>
        <v>169205.91077810567</v>
      </c>
    </row>
    <row r="15" spans="2:13" x14ac:dyDescent="0.25">
      <c r="B15">
        <v>2028</v>
      </c>
      <c r="F15" t="s">
        <v>213</v>
      </c>
      <c r="G15" s="4">
        <f>-'Income Statement'!K11</f>
        <v>902017.04448000004</v>
      </c>
    </row>
    <row r="16" spans="2:13" x14ac:dyDescent="0.25">
      <c r="B16">
        <v>2028</v>
      </c>
      <c r="F16" t="s">
        <v>64</v>
      </c>
      <c r="G16" s="4">
        <f>-'Income Statement'!K15</f>
        <v>252308.1242288434</v>
      </c>
    </row>
    <row r="17" spans="2:7" x14ac:dyDescent="0.25">
      <c r="B17">
        <v>2029</v>
      </c>
      <c r="F17" t="s">
        <v>213</v>
      </c>
      <c r="G17" s="4">
        <f>-'Income Statement'!L11</f>
        <v>885243.04127999989</v>
      </c>
    </row>
    <row r="18" spans="2:7" x14ac:dyDescent="0.25">
      <c r="B18">
        <v>2029</v>
      </c>
      <c r="F18" t="s">
        <v>64</v>
      </c>
      <c r="G18" s="4">
        <f>-'Income Statement'!L15</f>
        <v>332769.70202037127</v>
      </c>
    </row>
    <row r="19" spans="2:7" x14ac:dyDescent="0.25">
      <c r="B19">
        <v>2030</v>
      </c>
      <c r="F19" t="s">
        <v>213</v>
      </c>
      <c r="G19" s="4">
        <f>-'Income Statement'!M11</f>
        <v>895428.08160000003</v>
      </c>
    </row>
    <row r="20" spans="2:7" x14ac:dyDescent="0.25">
      <c r="B20">
        <v>2030</v>
      </c>
      <c r="F20" t="s">
        <v>64</v>
      </c>
      <c r="G20" s="4">
        <f>-'Income Statement'!M15</f>
        <v>435180.48523788672</v>
      </c>
    </row>
  </sheetData>
  <hyperlinks>
    <hyperlink ref="M1" location="'Table of Content'!A1" display="Back" xr:uid="{C953833E-699F-4198-BAC9-AB2FE1552F2A}"/>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36DF9-8E2A-46CA-BAF6-3A6B1F09561B}">
  <sheetPr>
    <tabColor theme="2" tint="-0.499984740745262"/>
  </sheetPr>
  <dimension ref="B3:J41"/>
  <sheetViews>
    <sheetView showGridLines="0" workbookViewId="0">
      <selection activeCell="H17" sqref="H17"/>
    </sheetView>
  </sheetViews>
  <sheetFormatPr defaultColWidth="8.85546875" defaultRowHeight="15" x14ac:dyDescent="0.25"/>
  <cols>
    <col min="2" max="2" width="13.42578125" bestFit="1" customWidth="1"/>
    <col min="3" max="4" width="16.85546875" bestFit="1" customWidth="1"/>
    <col min="5" max="5" width="13.140625" bestFit="1" customWidth="1"/>
    <col min="6" max="6" width="16.5703125" bestFit="1" customWidth="1"/>
    <col min="8" max="10" width="14" bestFit="1" customWidth="1"/>
  </cols>
  <sheetData>
    <row r="3" spans="2:10" x14ac:dyDescent="0.25">
      <c r="B3" s="75" t="s">
        <v>215</v>
      </c>
      <c r="C3" t="s">
        <v>214</v>
      </c>
      <c r="D3" t="s">
        <v>217</v>
      </c>
      <c r="E3" t="s">
        <v>218</v>
      </c>
      <c r="F3" t="s">
        <v>219</v>
      </c>
    </row>
    <row r="4" spans="2:10" x14ac:dyDescent="0.25">
      <c r="B4" s="76">
        <v>2026</v>
      </c>
      <c r="C4" s="17">
        <v>6327360</v>
      </c>
      <c r="D4" s="17">
        <v>3096942.656</v>
      </c>
      <c r="E4" s="17">
        <v>3230417.344</v>
      </c>
      <c r="F4" s="17">
        <v>1184769.7164000003</v>
      </c>
    </row>
    <row r="5" spans="2:10" x14ac:dyDescent="0.25">
      <c r="B5" s="76">
        <v>2027</v>
      </c>
      <c r="C5" s="17">
        <v>6503243.1359999999</v>
      </c>
      <c r="D5" s="17">
        <v>3030787.0373726794</v>
      </c>
      <c r="E5" s="17">
        <v>3472456.0986273205</v>
      </c>
      <c r="F5" s="17">
        <v>1813395.758646911</v>
      </c>
    </row>
    <row r="6" spans="2:10" x14ac:dyDescent="0.25">
      <c r="B6" s="76">
        <v>2028</v>
      </c>
      <c r="C6" s="17">
        <v>6591808.7039999999</v>
      </c>
      <c r="D6" s="17">
        <v>2921286.0140885292</v>
      </c>
      <c r="E6" s="17">
        <v>3670522.6899114707</v>
      </c>
      <c r="F6" s="17">
        <v>1887148.1409019702</v>
      </c>
    </row>
    <row r="7" spans="2:10" x14ac:dyDescent="0.25">
      <c r="B7" s="76">
        <v>2029</v>
      </c>
      <c r="C7" s="17">
        <v>6680374.2719999999</v>
      </c>
      <c r="D7" s="17">
        <v>2784409.7349833413</v>
      </c>
      <c r="E7" s="17">
        <v>3895964.5370166586</v>
      </c>
      <c r="F7" s="17">
        <v>2008463.8452872154</v>
      </c>
    </row>
    <row r="8" spans="2:10" x14ac:dyDescent="0.25">
      <c r="B8" s="76">
        <v>2030</v>
      </c>
      <c r="C8" s="17">
        <v>6768939.8399999999</v>
      </c>
      <c r="D8" s="17">
        <v>2613314.3861018564</v>
      </c>
      <c r="E8" s="17">
        <v>4155625.4538981435</v>
      </c>
      <c r="F8" s="17">
        <v>2118762.6652951925</v>
      </c>
    </row>
    <row r="9" spans="2:10" x14ac:dyDescent="0.25">
      <c r="B9" s="76" t="s">
        <v>216</v>
      </c>
      <c r="C9" s="17">
        <v>32871725.952</v>
      </c>
      <c r="D9" s="17">
        <v>14446739.828546407</v>
      </c>
      <c r="E9" s="17">
        <v>18424986.123453595</v>
      </c>
      <c r="F9" s="17">
        <v>9012540.1265312899</v>
      </c>
    </row>
    <row r="11" spans="2:10" x14ac:dyDescent="0.25">
      <c r="B11" s="75" t="s">
        <v>215</v>
      </c>
      <c r="C11" t="s">
        <v>222</v>
      </c>
      <c r="D11" t="s">
        <v>223</v>
      </c>
      <c r="E11" t="s">
        <v>227</v>
      </c>
    </row>
    <row r="12" spans="2:10" x14ac:dyDescent="0.25">
      <c r="B12" s="76">
        <v>2026</v>
      </c>
      <c r="C12" s="17">
        <v>6327360</v>
      </c>
      <c r="D12" s="17">
        <v>3230417.344</v>
      </c>
      <c r="E12" s="17">
        <v>1184769.7164000003</v>
      </c>
    </row>
    <row r="13" spans="2:10" x14ac:dyDescent="0.25">
      <c r="B13" s="76">
        <v>2027</v>
      </c>
      <c r="C13" s="17">
        <v>6503243.1359999999</v>
      </c>
      <c r="D13" s="17">
        <v>3472456.0986273205</v>
      </c>
      <c r="E13" s="17">
        <v>1813395.758646911</v>
      </c>
    </row>
    <row r="14" spans="2:10" x14ac:dyDescent="0.25">
      <c r="B14" s="76">
        <v>2028</v>
      </c>
      <c r="C14" s="17">
        <v>6591808.7039999999</v>
      </c>
      <c r="D14" s="17">
        <v>3670522.6899114707</v>
      </c>
      <c r="E14" s="17">
        <v>1887148.1409019702</v>
      </c>
    </row>
    <row r="15" spans="2:10" x14ac:dyDescent="0.25">
      <c r="B15" s="76">
        <v>2029</v>
      </c>
      <c r="C15" s="17">
        <v>6680374.2719999999</v>
      </c>
      <c r="D15" s="17">
        <v>3895964.5370166586</v>
      </c>
      <c r="E15" s="17">
        <v>2008463.8452872154</v>
      </c>
    </row>
    <row r="16" spans="2:10" x14ac:dyDescent="0.25">
      <c r="B16" s="76">
        <v>2030</v>
      </c>
      <c r="C16" s="17">
        <v>6768939.8399999999</v>
      </c>
      <c r="D16" s="17">
        <v>4155625.4538981435</v>
      </c>
      <c r="E16" s="17">
        <v>2118762.6652951925</v>
      </c>
      <c r="H16" s="77" t="s">
        <v>57</v>
      </c>
      <c r="I16" s="77" t="s">
        <v>209</v>
      </c>
      <c r="J16" s="77" t="s">
        <v>212</v>
      </c>
    </row>
    <row r="17" spans="2:10" x14ac:dyDescent="0.25">
      <c r="B17" s="76" t="s">
        <v>216</v>
      </c>
      <c r="C17" s="17">
        <v>6574345.1903999997</v>
      </c>
      <c r="D17" s="17">
        <v>3684997.224690719</v>
      </c>
      <c r="E17" s="17">
        <v>1802508.0253062579</v>
      </c>
      <c r="H17" s="78">
        <f>AVERAGE(C12:C16)</f>
        <v>6574345.1903999997</v>
      </c>
      <c r="I17" s="78">
        <f t="shared" ref="I17:J17" si="0">AVERAGE(D12:D16)</f>
        <v>3684997.224690719</v>
      </c>
      <c r="J17" s="78">
        <f t="shared" si="0"/>
        <v>1802508.0253062579</v>
      </c>
    </row>
    <row r="20" spans="2:10" x14ac:dyDescent="0.25">
      <c r="B20" s="75" t="s">
        <v>221</v>
      </c>
      <c r="C20" s="75" t="s">
        <v>220</v>
      </c>
    </row>
    <row r="21" spans="2:10" x14ac:dyDescent="0.25">
      <c r="B21" s="75" t="s">
        <v>215</v>
      </c>
      <c r="C21" t="s">
        <v>64</v>
      </c>
      <c r="D21" t="s">
        <v>213</v>
      </c>
      <c r="E21" t="s">
        <v>216</v>
      </c>
    </row>
    <row r="22" spans="2:10" x14ac:dyDescent="0.25">
      <c r="B22" s="76">
        <v>2026</v>
      </c>
      <c r="C22" s="17">
        <v>106441.1888</v>
      </c>
      <c r="D22" s="17">
        <v>1544283.2</v>
      </c>
      <c r="E22" s="17">
        <v>1650724.3887999998</v>
      </c>
    </row>
    <row r="23" spans="2:10" x14ac:dyDescent="0.25">
      <c r="B23" s="76">
        <v>2027</v>
      </c>
      <c r="C23" s="17">
        <v>169205.91077810567</v>
      </c>
      <c r="D23" s="17">
        <v>885389.17631999997</v>
      </c>
      <c r="E23" s="17">
        <v>1054595.0870981056</v>
      </c>
    </row>
    <row r="24" spans="2:10" x14ac:dyDescent="0.25">
      <c r="B24" s="76">
        <v>2028</v>
      </c>
      <c r="C24" s="17">
        <v>252308.1242288434</v>
      </c>
      <c r="D24" s="17">
        <v>902017.04448000004</v>
      </c>
      <c r="E24" s="17">
        <v>1154325.1687088434</v>
      </c>
    </row>
    <row r="25" spans="2:10" x14ac:dyDescent="0.25">
      <c r="B25" s="76">
        <v>2029</v>
      </c>
      <c r="C25" s="17">
        <v>332769.70202037127</v>
      </c>
      <c r="D25" s="17">
        <v>885243.04127999989</v>
      </c>
      <c r="E25" s="17">
        <v>1218012.7433003711</v>
      </c>
    </row>
    <row r="26" spans="2:10" x14ac:dyDescent="0.25">
      <c r="B26" s="76">
        <v>2030</v>
      </c>
      <c r="C26" s="17">
        <v>435180.48523788672</v>
      </c>
      <c r="D26" s="17">
        <v>895428.08160000003</v>
      </c>
      <c r="E26" s="17">
        <v>1330608.5668378868</v>
      </c>
    </row>
    <row r="27" spans="2:10" x14ac:dyDescent="0.25">
      <c r="B27" s="76" t="s">
        <v>216</v>
      </c>
      <c r="C27" s="17">
        <v>1295905.4110652071</v>
      </c>
      <c r="D27" s="17">
        <v>5112360.5436800001</v>
      </c>
      <c r="E27" s="17">
        <v>6408265.954745207</v>
      </c>
    </row>
    <row r="29" spans="2:10" x14ac:dyDescent="0.25">
      <c r="B29" s="75" t="s">
        <v>215</v>
      </c>
      <c r="C29" t="s">
        <v>221</v>
      </c>
    </row>
    <row r="30" spans="2:10" x14ac:dyDescent="0.25">
      <c r="B30" s="76" t="s">
        <v>64</v>
      </c>
      <c r="C30" s="17">
        <v>1295905.4110652071</v>
      </c>
    </row>
    <row r="31" spans="2:10" x14ac:dyDescent="0.25">
      <c r="B31" s="76" t="s">
        <v>213</v>
      </c>
      <c r="C31" s="17">
        <v>5112360.5436799992</v>
      </c>
    </row>
    <row r="32" spans="2:10" x14ac:dyDescent="0.25">
      <c r="B32" s="76" t="s">
        <v>216</v>
      </c>
      <c r="C32" s="17">
        <v>6408265.9547452061</v>
      </c>
    </row>
    <row r="35" spans="2:5" x14ac:dyDescent="0.25">
      <c r="B35" s="75" t="s">
        <v>215</v>
      </c>
      <c r="C35" t="s">
        <v>224</v>
      </c>
      <c r="D35" t="s">
        <v>225</v>
      </c>
      <c r="E35" t="s">
        <v>226</v>
      </c>
    </row>
    <row r="36" spans="2:5" x14ac:dyDescent="0.25">
      <c r="B36" s="76">
        <v>2026</v>
      </c>
      <c r="C36" s="44">
        <v>0.5105474232539321</v>
      </c>
      <c r="D36" s="44">
        <v>0.18724550466545292</v>
      </c>
      <c r="E36" s="44">
        <v>0.17755144505047557</v>
      </c>
    </row>
    <row r="37" spans="2:5" x14ac:dyDescent="0.25">
      <c r="B37" s="76">
        <v>2027</v>
      </c>
      <c r="C37" s="44">
        <v>0.53395760023254346</v>
      </c>
      <c r="D37" s="44">
        <v>0.27884483491144546</v>
      </c>
      <c r="E37" s="44">
        <v>0.24876106632626385</v>
      </c>
    </row>
    <row r="38" spans="2:5" x14ac:dyDescent="0.25">
      <c r="B38" s="76">
        <v>2028</v>
      </c>
      <c r="C38" s="44">
        <v>0.55683088735329156</v>
      </c>
      <c r="D38" s="44">
        <v>0.28628684866974718</v>
      </c>
      <c r="E38" s="44">
        <v>0.24663432128694288</v>
      </c>
    </row>
    <row r="39" spans="2:5" x14ac:dyDescent="0.25">
      <c r="B39" s="76">
        <v>2029</v>
      </c>
      <c r="C39" s="44">
        <v>0.58319554839107357</v>
      </c>
      <c r="D39" s="44">
        <v>0.30065139519284939</v>
      </c>
      <c r="E39" s="44">
        <v>0.27603338510204506</v>
      </c>
    </row>
    <row r="40" spans="2:5" x14ac:dyDescent="0.25">
      <c r="B40" s="76">
        <v>2030</v>
      </c>
      <c r="C40" s="44">
        <v>0.61392560018647524</v>
      </c>
      <c r="D40" s="44">
        <v>0.31301248280782362</v>
      </c>
      <c r="E40" s="44">
        <v>0.25870266458779423</v>
      </c>
    </row>
    <row r="41" spans="2:5" x14ac:dyDescent="0.25">
      <c r="B41" s="76" t="s">
        <v>216</v>
      </c>
      <c r="C41" s="44">
        <v>2.7984570594173159</v>
      </c>
      <c r="D41" s="44">
        <v>1.3660410662473186</v>
      </c>
      <c r="E41" s="44">
        <v>1.2076828823535215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Page</vt:lpstr>
      <vt:lpstr>Table of Content</vt:lpstr>
      <vt:lpstr>Summary Page</vt:lpstr>
      <vt:lpstr>Dashboard</vt:lpstr>
      <vt:lpstr>Assumptions</vt:lpstr>
      <vt:lpstr>Workings</vt:lpstr>
      <vt:lpstr>Income Statement</vt:lpstr>
      <vt:lpstr>Balance Sheet</vt:lpstr>
      <vt:lpstr>Cashflow Statement</vt:lpstr>
      <vt:lpstr>Valuation</vt:lpstr>
      <vt:lpstr>Financial Ratios</vt:lpstr>
      <vt:lpstr>Data Page</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Theresa Suglo</dc:creator>
  <cp:lastModifiedBy>Theresa Suglo</cp:lastModifiedBy>
  <dcterms:created xsi:type="dcterms:W3CDTF">2025-09-24T09:21:19Z</dcterms:created>
  <dcterms:modified xsi:type="dcterms:W3CDTF">2025-10-04T21:16:56Z</dcterms:modified>
</cp:coreProperties>
</file>